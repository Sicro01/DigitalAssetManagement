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on\Documents\c#_projects\Simon.DigitalAssetManagement\"/>
    </mc:Choice>
  </mc:AlternateContent>
  <xr:revisionPtr revIDLastSave="0" documentId="13_ncr:1_{FF1F21AA-18BD-49FB-A175-7F16961A3FCE}" xr6:coauthVersionLast="45" xr6:coauthVersionMax="45" xr10:uidLastSave="{00000000-0000-0000-0000-000000000000}"/>
  <bookViews>
    <workbookView xWindow="28680" yWindow="285" windowWidth="29040" windowHeight="16065" firstSheet="1" activeTab="1" xr2:uid="{00000000-000D-0000-FFFF-FFFF00000000}"/>
  </bookViews>
  <sheets>
    <sheet name="Delete All" sheetId="14" r:id="rId1"/>
    <sheet name="All Inserts" sheetId="9" r:id="rId2"/>
    <sheet name="Phases" sheetId="8" r:id="rId3"/>
    <sheet name="Strategies" sheetId="3" r:id="rId4"/>
    <sheet name="PhaseStrategies" sheetId="10" r:id="rId5"/>
    <sheet name="Channel" sheetId="5" r:id="rId6"/>
    <sheet name="PSChannels" sheetId="11" r:id="rId7"/>
    <sheet name="Country" sheetId="4" r:id="rId8"/>
    <sheet name="PSChannelCountries" sheetId="12" r:id="rId9"/>
    <sheet name="Ad" sheetId="7" r:id="rId10"/>
    <sheet name="PSChannelCountriesAds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5" i="13" l="1"/>
  <c r="C5" i="13"/>
  <c r="D5" i="13"/>
  <c r="B5" i="7"/>
  <c r="C5" i="7"/>
  <c r="D5" i="7"/>
  <c r="E5" i="7"/>
  <c r="F5" i="7"/>
  <c r="G5" i="7"/>
  <c r="H5" i="7"/>
  <c r="I5" i="7"/>
  <c r="J5" i="7"/>
  <c r="B5" i="12"/>
  <c r="C5" i="12"/>
  <c r="D5" i="12"/>
  <c r="B5" i="4"/>
  <c r="C5" i="4"/>
  <c r="D5" i="4"/>
  <c r="B5" i="11"/>
  <c r="C5" i="11"/>
  <c r="D5" i="11"/>
  <c r="B5" i="5"/>
  <c r="C5" i="5"/>
  <c r="B5" i="10"/>
  <c r="C5" i="10"/>
  <c r="D5" i="10"/>
  <c r="B5" i="3"/>
  <c r="C5" i="3"/>
  <c r="D5" i="3"/>
  <c r="E5" i="3"/>
  <c r="B5" i="8"/>
  <c r="C5" i="8"/>
  <c r="D5" i="8"/>
  <c r="E5" i="8"/>
  <c r="A123" i="9" l="1"/>
  <c r="A124" i="9"/>
  <c r="A125" i="9"/>
  <c r="A130" i="9"/>
  <c r="A131" i="9"/>
  <c r="A83" i="9"/>
  <c r="A84" i="9"/>
  <c r="A85" i="9"/>
  <c r="A90" i="9"/>
  <c r="A91" i="9"/>
  <c r="A63" i="9"/>
  <c r="A64" i="9"/>
  <c r="A65" i="9"/>
  <c r="A70" i="9"/>
  <c r="A71" i="9"/>
  <c r="A28" i="9"/>
  <c r="A29" i="9"/>
  <c r="A30" i="9"/>
  <c r="A35" i="9"/>
  <c r="A36" i="9"/>
  <c r="A18" i="9"/>
  <c r="A19" i="9"/>
  <c r="A20" i="9"/>
  <c r="A25" i="9"/>
  <c r="A26" i="9"/>
  <c r="I16" i="13"/>
  <c r="I15" i="13"/>
  <c r="H14" i="13"/>
  <c r="G14" i="13"/>
  <c r="F14" i="13"/>
  <c r="E14" i="13"/>
  <c r="G13" i="13"/>
  <c r="F13" i="13"/>
  <c r="E13" i="13"/>
  <c r="H13" i="13" s="1"/>
  <c r="G12" i="13"/>
  <c r="F12" i="13"/>
  <c r="E12" i="13"/>
  <c r="H12" i="13" s="1"/>
  <c r="G11" i="13"/>
  <c r="F11" i="13"/>
  <c r="E11" i="13"/>
  <c r="H11" i="13" s="1"/>
  <c r="I10" i="13"/>
  <c r="I9" i="13"/>
  <c r="I8" i="13"/>
  <c r="B6" i="13"/>
  <c r="C6" i="13" s="1"/>
  <c r="D6" i="13" s="1"/>
  <c r="B4" i="13"/>
  <c r="B3" i="13"/>
  <c r="B2" i="13"/>
  <c r="I16" i="12"/>
  <c r="I15" i="12"/>
  <c r="H14" i="12"/>
  <c r="G14" i="12"/>
  <c r="F14" i="12"/>
  <c r="E14" i="12"/>
  <c r="G13" i="12"/>
  <c r="F13" i="12"/>
  <c r="E13" i="12"/>
  <c r="H13" i="12" s="1"/>
  <c r="G12" i="12"/>
  <c r="F12" i="12"/>
  <c r="E12" i="12"/>
  <c r="H12" i="12" s="1"/>
  <c r="G11" i="12"/>
  <c r="F11" i="12"/>
  <c r="E11" i="12"/>
  <c r="H11" i="12" s="1"/>
  <c r="I10" i="12"/>
  <c r="I9" i="12"/>
  <c r="I8" i="12"/>
  <c r="B6" i="12"/>
  <c r="C6" i="12" s="1"/>
  <c r="D6" i="12" s="1"/>
  <c r="B4" i="12"/>
  <c r="B3" i="12"/>
  <c r="B2" i="12"/>
  <c r="D6" i="11"/>
  <c r="B7" i="11" s="1"/>
  <c r="H12" i="11"/>
  <c r="H13" i="11"/>
  <c r="H14" i="11"/>
  <c r="H11" i="11"/>
  <c r="G14" i="11"/>
  <c r="G13" i="11"/>
  <c r="G12" i="11"/>
  <c r="G11" i="11"/>
  <c r="K16" i="3"/>
  <c r="K15" i="3"/>
  <c r="I14" i="3"/>
  <c r="H14" i="3"/>
  <c r="G14" i="3"/>
  <c r="F14" i="3"/>
  <c r="J14" i="3" s="1"/>
  <c r="I13" i="3"/>
  <c r="H13" i="3"/>
  <c r="G13" i="3"/>
  <c r="F13" i="3"/>
  <c r="I12" i="3"/>
  <c r="H12" i="3"/>
  <c r="G12" i="3"/>
  <c r="F12" i="3"/>
  <c r="J12" i="3" s="1"/>
  <c r="I11" i="3"/>
  <c r="H11" i="3"/>
  <c r="J11" i="3" s="1"/>
  <c r="G11" i="3"/>
  <c r="F11" i="3"/>
  <c r="K10" i="3"/>
  <c r="K9" i="3"/>
  <c r="K8" i="3"/>
  <c r="B6" i="3"/>
  <c r="C6" i="3" s="1"/>
  <c r="D6" i="3" s="1"/>
  <c r="E6" i="3" s="1"/>
  <c r="B4" i="3"/>
  <c r="B3" i="3"/>
  <c r="B2" i="3"/>
  <c r="J14" i="8"/>
  <c r="J13" i="8"/>
  <c r="J12" i="8"/>
  <c r="J11" i="8"/>
  <c r="H14" i="10"/>
  <c r="H13" i="10"/>
  <c r="H12" i="10"/>
  <c r="H11" i="10"/>
  <c r="G14" i="10"/>
  <c r="G13" i="10"/>
  <c r="G12" i="10"/>
  <c r="G11" i="10"/>
  <c r="F14" i="10"/>
  <c r="F13" i="10"/>
  <c r="F12" i="10"/>
  <c r="F11" i="10"/>
  <c r="E12" i="10"/>
  <c r="E13" i="10"/>
  <c r="E14" i="10"/>
  <c r="E11" i="10"/>
  <c r="I16" i="11"/>
  <c r="I15" i="11"/>
  <c r="F14" i="11"/>
  <c r="E14" i="11"/>
  <c r="F13" i="11"/>
  <c r="E13" i="11"/>
  <c r="F12" i="11"/>
  <c r="E12" i="11"/>
  <c r="F11" i="11"/>
  <c r="E11" i="11"/>
  <c r="I10" i="11"/>
  <c r="I9" i="11"/>
  <c r="I8" i="11"/>
  <c r="B6" i="11"/>
  <c r="C6" i="11" s="1"/>
  <c r="B4" i="11"/>
  <c r="B3" i="11"/>
  <c r="B2" i="11"/>
  <c r="I16" i="10"/>
  <c r="I15" i="10"/>
  <c r="I10" i="10"/>
  <c r="I9" i="10"/>
  <c r="I8" i="10"/>
  <c r="B6" i="10"/>
  <c r="C6" i="10" s="1"/>
  <c r="D6" i="10" s="1"/>
  <c r="B7" i="10" s="1"/>
  <c r="B4" i="10"/>
  <c r="B3" i="10"/>
  <c r="B2" i="10"/>
  <c r="B7" i="13" l="1"/>
  <c r="I12" i="13" s="1"/>
  <c r="A127" i="9" s="1"/>
  <c r="B7" i="12"/>
  <c r="I12" i="12" s="1"/>
  <c r="A87" i="9" s="1"/>
  <c r="J13" i="3"/>
  <c r="B7" i="3"/>
  <c r="H12" i="8"/>
  <c r="I12" i="8"/>
  <c r="H13" i="8"/>
  <c r="I13" i="8"/>
  <c r="H14" i="8"/>
  <c r="I14" i="8"/>
  <c r="I11" i="8"/>
  <c r="H11" i="8"/>
  <c r="I14" i="13" l="1"/>
  <c r="A129" i="9" s="1"/>
  <c r="I13" i="13"/>
  <c r="A128" i="9" s="1"/>
  <c r="I14" i="12"/>
  <c r="A89" i="9" s="1"/>
  <c r="I13" i="12"/>
  <c r="A88" i="9" s="1"/>
  <c r="I11" i="12"/>
  <c r="A86" i="9" s="1"/>
  <c r="I11" i="13"/>
  <c r="A126" i="9" s="1"/>
  <c r="K13" i="3"/>
  <c r="A23" i="9" s="1"/>
  <c r="K12" i="3"/>
  <c r="A22" i="9" s="1"/>
  <c r="K11" i="3"/>
  <c r="A21" i="9" s="1"/>
  <c r="K14" i="3"/>
  <c r="A24" i="9" s="1"/>
  <c r="I14" i="10"/>
  <c r="A34" i="9" s="1"/>
  <c r="I14" i="11"/>
  <c r="A69" i="9" s="1"/>
  <c r="I13" i="11"/>
  <c r="A68" i="9" s="1"/>
  <c r="I12" i="11"/>
  <c r="A67" i="9" s="1"/>
  <c r="I11" i="11"/>
  <c r="A66" i="9" s="1"/>
  <c r="I11" i="10"/>
  <c r="A31" i="9" s="1"/>
  <c r="I12" i="10"/>
  <c r="A32" i="9" s="1"/>
  <c r="I13" i="10"/>
  <c r="A33" i="9" s="1"/>
  <c r="U36" i="7"/>
  <c r="A121" i="9" s="1"/>
  <c r="U35" i="7"/>
  <c r="A120" i="9" s="1"/>
  <c r="U10" i="7"/>
  <c r="A95" i="9" s="1"/>
  <c r="U9" i="7"/>
  <c r="A94" i="9" s="1"/>
  <c r="U8" i="7"/>
  <c r="A93" i="9" s="1"/>
  <c r="I16" i="4"/>
  <c r="A81" i="9" s="1"/>
  <c r="I15" i="4"/>
  <c r="A80" i="9" s="1"/>
  <c r="I10" i="4"/>
  <c r="A75" i="9" s="1"/>
  <c r="I9" i="4"/>
  <c r="A74" i="9" s="1"/>
  <c r="I8" i="4"/>
  <c r="A73" i="9" s="1"/>
  <c r="G31" i="5"/>
  <c r="A61" i="9" s="1"/>
  <c r="G30" i="5"/>
  <c r="A60" i="9" s="1"/>
  <c r="G10" i="5"/>
  <c r="A40" i="9" s="1"/>
  <c r="G9" i="5"/>
  <c r="A39" i="9" s="1"/>
  <c r="G8" i="5"/>
  <c r="A38" i="9" s="1"/>
  <c r="K15" i="8"/>
  <c r="A15" i="9" s="1"/>
  <c r="K10" i="8"/>
  <c r="A10" i="9" s="1"/>
  <c r="K9" i="8"/>
  <c r="A9" i="9" s="1"/>
  <c r="K16" i="8"/>
  <c r="A16" i="9" s="1"/>
  <c r="K8" i="8"/>
  <c r="A8" i="9" s="1"/>
  <c r="F12" i="8"/>
  <c r="G12" i="8"/>
  <c r="F13" i="8"/>
  <c r="G13" i="8"/>
  <c r="F14" i="8"/>
  <c r="G14" i="8"/>
  <c r="G11" i="8"/>
  <c r="F11" i="8"/>
  <c r="B6" i="8"/>
  <c r="C6" i="8" s="1"/>
  <c r="D6" i="8" s="1"/>
  <c r="E6" i="8" s="1"/>
  <c r="B4" i="8"/>
  <c r="B3" i="8"/>
  <c r="B2" i="8"/>
  <c r="E12" i="4"/>
  <c r="H12" i="4" s="1"/>
  <c r="E13" i="4"/>
  <c r="H13" i="4" s="1"/>
  <c r="E14" i="4"/>
  <c r="H14" i="4" s="1"/>
  <c r="E11" i="4"/>
  <c r="H11" i="4" s="1"/>
  <c r="B6" i="4"/>
  <c r="K12" i="7"/>
  <c r="T12" i="7" s="1"/>
  <c r="K13" i="7"/>
  <c r="T13" i="7" s="1"/>
  <c r="K14" i="7"/>
  <c r="T14" i="7" s="1"/>
  <c r="K15" i="7"/>
  <c r="T15" i="7" s="1"/>
  <c r="K16" i="7"/>
  <c r="T16" i="7" s="1"/>
  <c r="K17" i="7"/>
  <c r="T17" i="7" s="1"/>
  <c r="K18" i="7"/>
  <c r="T18" i="7" s="1"/>
  <c r="K19" i="7"/>
  <c r="T19" i="7" s="1"/>
  <c r="K20" i="7"/>
  <c r="T20" i="7" s="1"/>
  <c r="K21" i="7"/>
  <c r="T21" i="7" s="1"/>
  <c r="K22" i="7"/>
  <c r="T22" i="7" s="1"/>
  <c r="K23" i="7"/>
  <c r="T23" i="7" s="1"/>
  <c r="K24" i="7"/>
  <c r="T24" i="7" s="1"/>
  <c r="K25" i="7"/>
  <c r="T25" i="7" s="1"/>
  <c r="K26" i="7"/>
  <c r="T26" i="7" s="1"/>
  <c r="K27" i="7"/>
  <c r="T27" i="7" s="1"/>
  <c r="K28" i="7"/>
  <c r="T28" i="7" s="1"/>
  <c r="K29" i="7"/>
  <c r="T29" i="7" s="1"/>
  <c r="K30" i="7"/>
  <c r="T30" i="7" s="1"/>
  <c r="K31" i="7"/>
  <c r="T31" i="7" s="1"/>
  <c r="K32" i="7"/>
  <c r="T32" i="7" s="1"/>
  <c r="K33" i="7"/>
  <c r="T33" i="7" s="1"/>
  <c r="K34" i="7"/>
  <c r="T34" i="7" s="1"/>
  <c r="K11" i="7"/>
  <c r="B6" i="7"/>
  <c r="C6" i="7" s="1"/>
  <c r="F14" i="5"/>
  <c r="F18" i="5"/>
  <c r="F22" i="5"/>
  <c r="F26" i="5"/>
  <c r="F11" i="5"/>
  <c r="D12" i="5"/>
  <c r="D13" i="5"/>
  <c r="D14" i="5"/>
  <c r="D15" i="5"/>
  <c r="F15" i="5" s="1"/>
  <c r="D16" i="5"/>
  <c r="D17" i="5"/>
  <c r="D18" i="5"/>
  <c r="D19" i="5"/>
  <c r="F19" i="5" s="1"/>
  <c r="D20" i="5"/>
  <c r="D21" i="5"/>
  <c r="D22" i="5"/>
  <c r="D23" i="5"/>
  <c r="F23" i="5" s="1"/>
  <c r="D24" i="5"/>
  <c r="D25" i="5"/>
  <c r="D26" i="5"/>
  <c r="D27" i="5"/>
  <c r="F27" i="5" s="1"/>
  <c r="D28" i="5"/>
  <c r="D29" i="5"/>
  <c r="D11" i="5"/>
  <c r="B6" i="5"/>
  <c r="C6" i="5" s="1"/>
  <c r="L12" i="7"/>
  <c r="M12" i="7"/>
  <c r="N12" i="7"/>
  <c r="O12" i="7"/>
  <c r="P12" i="7"/>
  <c r="Q12" i="7"/>
  <c r="R12" i="7"/>
  <c r="S12" i="7"/>
  <c r="L13" i="7"/>
  <c r="M13" i="7"/>
  <c r="N13" i="7"/>
  <c r="O13" i="7"/>
  <c r="P13" i="7"/>
  <c r="Q13" i="7"/>
  <c r="R13" i="7"/>
  <c r="S13" i="7"/>
  <c r="L14" i="7"/>
  <c r="M14" i="7"/>
  <c r="N14" i="7"/>
  <c r="O14" i="7"/>
  <c r="P14" i="7"/>
  <c r="Q14" i="7"/>
  <c r="R14" i="7"/>
  <c r="S14" i="7"/>
  <c r="L15" i="7"/>
  <c r="M15" i="7"/>
  <c r="N15" i="7"/>
  <c r="O15" i="7"/>
  <c r="P15" i="7"/>
  <c r="Q15" i="7"/>
  <c r="R15" i="7"/>
  <c r="S15" i="7"/>
  <c r="L16" i="7"/>
  <c r="M16" i="7"/>
  <c r="N16" i="7"/>
  <c r="O16" i="7"/>
  <c r="P16" i="7"/>
  <c r="Q16" i="7"/>
  <c r="R16" i="7"/>
  <c r="S16" i="7"/>
  <c r="L17" i="7"/>
  <c r="M17" i="7"/>
  <c r="N17" i="7"/>
  <c r="O17" i="7"/>
  <c r="P17" i="7"/>
  <c r="Q17" i="7"/>
  <c r="R17" i="7"/>
  <c r="S17" i="7"/>
  <c r="L18" i="7"/>
  <c r="M18" i="7"/>
  <c r="N18" i="7"/>
  <c r="O18" i="7"/>
  <c r="P18" i="7"/>
  <c r="Q18" i="7"/>
  <c r="R18" i="7"/>
  <c r="S18" i="7"/>
  <c r="L19" i="7"/>
  <c r="M19" i="7"/>
  <c r="N19" i="7"/>
  <c r="O19" i="7"/>
  <c r="P19" i="7"/>
  <c r="Q19" i="7"/>
  <c r="R19" i="7"/>
  <c r="S19" i="7"/>
  <c r="L20" i="7"/>
  <c r="M20" i="7"/>
  <c r="N20" i="7"/>
  <c r="O20" i="7"/>
  <c r="P20" i="7"/>
  <c r="Q20" i="7"/>
  <c r="R20" i="7"/>
  <c r="S20" i="7"/>
  <c r="L21" i="7"/>
  <c r="M21" i="7"/>
  <c r="N21" i="7"/>
  <c r="O21" i="7"/>
  <c r="P21" i="7"/>
  <c r="Q21" i="7"/>
  <c r="R21" i="7"/>
  <c r="S21" i="7"/>
  <c r="L22" i="7"/>
  <c r="M22" i="7"/>
  <c r="N22" i="7"/>
  <c r="O22" i="7"/>
  <c r="P22" i="7"/>
  <c r="Q22" i="7"/>
  <c r="R22" i="7"/>
  <c r="S22" i="7"/>
  <c r="L23" i="7"/>
  <c r="M23" i="7"/>
  <c r="N23" i="7"/>
  <c r="O23" i="7"/>
  <c r="P23" i="7"/>
  <c r="Q23" i="7"/>
  <c r="R23" i="7"/>
  <c r="S23" i="7"/>
  <c r="L24" i="7"/>
  <c r="M24" i="7"/>
  <c r="N24" i="7"/>
  <c r="O24" i="7"/>
  <c r="P24" i="7"/>
  <c r="Q24" i="7"/>
  <c r="R24" i="7"/>
  <c r="S24" i="7"/>
  <c r="L25" i="7"/>
  <c r="M25" i="7"/>
  <c r="N25" i="7"/>
  <c r="O25" i="7"/>
  <c r="P25" i="7"/>
  <c r="Q25" i="7"/>
  <c r="R25" i="7"/>
  <c r="S25" i="7"/>
  <c r="L26" i="7"/>
  <c r="M26" i="7"/>
  <c r="N26" i="7"/>
  <c r="O26" i="7"/>
  <c r="P26" i="7"/>
  <c r="Q26" i="7"/>
  <c r="R26" i="7"/>
  <c r="S26" i="7"/>
  <c r="L27" i="7"/>
  <c r="M27" i="7"/>
  <c r="N27" i="7"/>
  <c r="O27" i="7"/>
  <c r="P27" i="7"/>
  <c r="Q27" i="7"/>
  <c r="R27" i="7"/>
  <c r="S27" i="7"/>
  <c r="L28" i="7"/>
  <c r="M28" i="7"/>
  <c r="N28" i="7"/>
  <c r="O28" i="7"/>
  <c r="P28" i="7"/>
  <c r="Q28" i="7"/>
  <c r="R28" i="7"/>
  <c r="S28" i="7"/>
  <c r="L29" i="7"/>
  <c r="M29" i="7"/>
  <c r="N29" i="7"/>
  <c r="O29" i="7"/>
  <c r="P29" i="7"/>
  <c r="Q29" i="7"/>
  <c r="R29" i="7"/>
  <c r="S29" i="7"/>
  <c r="L30" i="7"/>
  <c r="M30" i="7"/>
  <c r="N30" i="7"/>
  <c r="O30" i="7"/>
  <c r="P30" i="7"/>
  <c r="Q30" i="7"/>
  <c r="R30" i="7"/>
  <c r="S30" i="7"/>
  <c r="L31" i="7"/>
  <c r="M31" i="7"/>
  <c r="N31" i="7"/>
  <c r="O31" i="7"/>
  <c r="P31" i="7"/>
  <c r="Q31" i="7"/>
  <c r="R31" i="7"/>
  <c r="S31" i="7"/>
  <c r="L32" i="7"/>
  <c r="M32" i="7"/>
  <c r="N32" i="7"/>
  <c r="O32" i="7"/>
  <c r="P32" i="7"/>
  <c r="Q32" i="7"/>
  <c r="R32" i="7"/>
  <c r="S32" i="7"/>
  <c r="L33" i="7"/>
  <c r="M33" i="7"/>
  <c r="N33" i="7"/>
  <c r="O33" i="7"/>
  <c r="P33" i="7"/>
  <c r="Q33" i="7"/>
  <c r="R33" i="7"/>
  <c r="S33" i="7"/>
  <c r="L34" i="7"/>
  <c r="M34" i="7"/>
  <c r="N34" i="7"/>
  <c r="O34" i="7"/>
  <c r="P34" i="7"/>
  <c r="Q34" i="7"/>
  <c r="R34" i="7"/>
  <c r="S34" i="7"/>
  <c r="S11" i="7"/>
  <c r="R11" i="7"/>
  <c r="Q11" i="7"/>
  <c r="P11" i="7"/>
  <c r="O11" i="7"/>
  <c r="N11" i="7"/>
  <c r="L11" i="7"/>
  <c r="M11" i="7"/>
  <c r="B4" i="7"/>
  <c r="B3" i="7"/>
  <c r="B2" i="7"/>
  <c r="E12" i="5"/>
  <c r="F12" i="5" s="1"/>
  <c r="E13" i="5"/>
  <c r="F13" i="5" s="1"/>
  <c r="E14" i="5"/>
  <c r="E15" i="5"/>
  <c r="E16" i="5"/>
  <c r="F16" i="5" s="1"/>
  <c r="E17" i="5"/>
  <c r="F17" i="5" s="1"/>
  <c r="E18" i="5"/>
  <c r="E19" i="5"/>
  <c r="E20" i="5"/>
  <c r="F20" i="5" s="1"/>
  <c r="E21" i="5"/>
  <c r="F21" i="5" s="1"/>
  <c r="E22" i="5"/>
  <c r="E23" i="5"/>
  <c r="E24" i="5"/>
  <c r="F24" i="5" s="1"/>
  <c r="E25" i="5"/>
  <c r="F25" i="5" s="1"/>
  <c r="E26" i="5"/>
  <c r="E27" i="5"/>
  <c r="E28" i="5"/>
  <c r="F28" i="5" s="1"/>
  <c r="E29" i="5"/>
  <c r="F29" i="5" s="1"/>
  <c r="E11" i="5"/>
  <c r="B4" i="5"/>
  <c r="B3" i="5"/>
  <c r="B2" i="5"/>
  <c r="F12" i="4"/>
  <c r="G12" i="4"/>
  <c r="F13" i="4"/>
  <c r="G13" i="4"/>
  <c r="F14" i="4"/>
  <c r="G14" i="4"/>
  <c r="G11" i="4"/>
  <c r="F11" i="4"/>
  <c r="B4" i="4"/>
  <c r="B3" i="4"/>
  <c r="B2" i="4"/>
  <c r="C6" i="4" l="1"/>
  <c r="D6" i="4" s="1"/>
  <c r="B7" i="4" s="1"/>
  <c r="T11" i="7"/>
  <c r="B7" i="8"/>
  <c r="K14" i="8" s="1"/>
  <c r="A14" i="9" s="1"/>
  <c r="D6" i="7"/>
  <c r="E6" i="7" s="1"/>
  <c r="F6" i="7" s="1"/>
  <c r="G6" i="7" s="1"/>
  <c r="H6" i="7" s="1"/>
  <c r="I6" i="7" s="1"/>
  <c r="J6" i="7" s="1"/>
  <c r="B7" i="7" s="1"/>
  <c r="B7" i="5"/>
  <c r="G23" i="5" s="1"/>
  <c r="A53" i="9" s="1"/>
  <c r="G25" i="5" l="1"/>
  <c r="A55" i="9" s="1"/>
  <c r="G21" i="5"/>
  <c r="A51" i="9" s="1"/>
  <c r="K12" i="8"/>
  <c r="A12" i="9" s="1"/>
  <c r="K13" i="8"/>
  <c r="A13" i="9" s="1"/>
  <c r="K11" i="8"/>
  <c r="A11" i="9" s="1"/>
  <c r="G14" i="5"/>
  <c r="A44" i="9" s="1"/>
  <c r="G22" i="5"/>
  <c r="A52" i="9" s="1"/>
  <c r="G29" i="5"/>
  <c r="A59" i="9" s="1"/>
  <c r="G24" i="5"/>
  <c r="A54" i="9" s="1"/>
  <c r="G20" i="5"/>
  <c r="A50" i="9" s="1"/>
  <c r="G18" i="5"/>
  <c r="A48" i="9" s="1"/>
  <c r="G26" i="5"/>
  <c r="A56" i="9" s="1"/>
  <c r="G27" i="5"/>
  <c r="A57" i="9" s="1"/>
  <c r="G12" i="5"/>
  <c r="A42" i="9" s="1"/>
  <c r="G28" i="5"/>
  <c r="A58" i="9" s="1"/>
  <c r="G16" i="5"/>
  <c r="A46" i="9" s="1"/>
  <c r="G17" i="5"/>
  <c r="A47" i="9" s="1"/>
  <c r="G13" i="5"/>
  <c r="A43" i="9" s="1"/>
  <c r="G15" i="5"/>
  <c r="A45" i="9" s="1"/>
  <c r="G19" i="5"/>
  <c r="A49" i="9" s="1"/>
  <c r="I11" i="4"/>
  <c r="A76" i="9" s="1"/>
  <c r="I12" i="4"/>
  <c r="A77" i="9" s="1"/>
  <c r="I14" i="4"/>
  <c r="A79" i="9" s="1"/>
  <c r="I13" i="4"/>
  <c r="A78" i="9" s="1"/>
  <c r="U33" i="7"/>
  <c r="A118" i="9" s="1"/>
  <c r="U31" i="7"/>
  <c r="A116" i="9" s="1"/>
  <c r="U21" i="7"/>
  <c r="A106" i="9" s="1"/>
  <c r="U25" i="7"/>
  <c r="A110" i="9" s="1"/>
  <c r="U17" i="7"/>
  <c r="A102" i="9" s="1"/>
  <c r="U29" i="7"/>
  <c r="A114" i="9" s="1"/>
  <c r="U27" i="7"/>
  <c r="A112" i="9" s="1"/>
  <c r="U15" i="7"/>
  <c r="A100" i="9" s="1"/>
  <c r="U23" i="7"/>
  <c r="A108" i="9" s="1"/>
  <c r="U19" i="7"/>
  <c r="A104" i="9" s="1"/>
  <c r="U24" i="7"/>
  <c r="A109" i="9" s="1"/>
  <c r="U26" i="7"/>
  <c r="A111" i="9" s="1"/>
  <c r="U12" i="7"/>
  <c r="A97" i="9" s="1"/>
  <c r="U20" i="7"/>
  <c r="A105" i="9" s="1"/>
  <c r="U28" i="7"/>
  <c r="A113" i="9" s="1"/>
  <c r="U16" i="7"/>
  <c r="A101" i="9" s="1"/>
  <c r="U18" i="7"/>
  <c r="A103" i="9" s="1"/>
  <c r="U34" i="7"/>
  <c r="A119" i="9" s="1"/>
  <c r="U14" i="7"/>
  <c r="A99" i="9" s="1"/>
  <c r="U22" i="7"/>
  <c r="A107" i="9" s="1"/>
  <c r="U30" i="7"/>
  <c r="A115" i="9" s="1"/>
  <c r="U32" i="7"/>
  <c r="A117" i="9" s="1"/>
  <c r="U13" i="7"/>
  <c r="A98" i="9" s="1"/>
  <c r="U11" i="7"/>
  <c r="A96" i="9" s="1"/>
  <c r="G11" i="5"/>
  <c r="A41" i="9" s="1"/>
</calcChain>
</file>

<file path=xl/sharedStrings.xml><?xml version="1.0" encoding="utf-8"?>
<sst xmlns="http://schemas.openxmlformats.org/spreadsheetml/2006/main" count="343" uniqueCount="197">
  <si>
    <t>YouTube</t>
  </si>
  <si>
    <t>Facebook / Instagram</t>
  </si>
  <si>
    <t>Instagram</t>
  </si>
  <si>
    <t>Twitter</t>
  </si>
  <si>
    <t>VK</t>
  </si>
  <si>
    <t>Reddit</t>
  </si>
  <si>
    <t>Outbrain</t>
  </si>
  <si>
    <t>DV360</t>
  </si>
  <si>
    <t>GDN / YouTube</t>
  </si>
  <si>
    <t>GDN</t>
  </si>
  <si>
    <t>Yandex</t>
  </si>
  <si>
    <t>Quora</t>
  </si>
  <si>
    <t>Spotify</t>
  </si>
  <si>
    <t>Tik Tok</t>
  </si>
  <si>
    <t>Google search ads</t>
  </si>
  <si>
    <t>Bing search ads</t>
  </si>
  <si>
    <t>Google Gmail</t>
  </si>
  <si>
    <t>Channels</t>
  </si>
  <si>
    <t>Countries</t>
  </si>
  <si>
    <t>AU</t>
  </si>
  <si>
    <t>Austria</t>
  </si>
  <si>
    <t>NZ</t>
  </si>
  <si>
    <t>New Zealand</t>
  </si>
  <si>
    <t>IT</t>
  </si>
  <si>
    <t>Italy</t>
  </si>
  <si>
    <t>RU</t>
  </si>
  <si>
    <t>Russia</t>
  </si>
  <si>
    <t>Programmatic</t>
  </si>
  <si>
    <t>TubeMogul</t>
  </si>
  <si>
    <t>PhaseId</t>
  </si>
  <si>
    <t>Columns</t>
  </si>
  <si>
    <t>End</t>
  </si>
  <si>
    <t>Start</t>
  </si>
  <si>
    <t>Table Name</t>
  </si>
  <si>
    <t>All Columns</t>
  </si>
  <si>
    <t>Middle</t>
  </si>
  <si>
    <t>Strategy 1</t>
  </si>
  <si>
    <t>Table Data</t>
  </si>
  <si>
    <t>Statement</t>
  </si>
  <si>
    <t>Medium Rectangle / Video Companion Banner</t>
  </si>
  <si>
    <t>Mobile</t>
  </si>
  <si>
    <t>160x800</t>
  </si>
  <si>
    <t>No</t>
  </si>
  <si>
    <t>JPG, PNG, GIF, HTML5</t>
  </si>
  <si>
    <t>150 KB</t>
  </si>
  <si>
    <t>30s or less, 3 loops max</t>
  </si>
  <si>
    <t>Leaderboard / Video Companion Banner</t>
  </si>
  <si>
    <t>Desktop</t>
  </si>
  <si>
    <t>160x801</t>
  </si>
  <si>
    <t>JPG, PNG, GIF, HTML6</t>
  </si>
  <si>
    <t>151 KB</t>
  </si>
  <si>
    <t>Wide Skyscraper</t>
  </si>
  <si>
    <t>160x802</t>
  </si>
  <si>
    <t>JPG, PNG, GIF, HTML7</t>
  </si>
  <si>
    <t>152 KB</t>
  </si>
  <si>
    <t>Half Page</t>
  </si>
  <si>
    <t>160x803</t>
  </si>
  <si>
    <t>JPG, PNG, GIF, HTML8</t>
  </si>
  <si>
    <t>153 KB</t>
  </si>
  <si>
    <t>Billboard</t>
  </si>
  <si>
    <t>160x804</t>
  </si>
  <si>
    <t>JPG, PNG, GIF, HTML9</t>
  </si>
  <si>
    <t>154 KB</t>
  </si>
  <si>
    <t>Mobile Leaderboard</t>
  </si>
  <si>
    <t>160x805</t>
  </si>
  <si>
    <t>JPG, PNG, GIF, HTML10</t>
  </si>
  <si>
    <t>155 KB</t>
  </si>
  <si>
    <t>Mobile Banner</t>
  </si>
  <si>
    <t>160x806</t>
  </si>
  <si>
    <t>JPG, PNG, GIF, HTML11</t>
  </si>
  <si>
    <t>156 KB</t>
  </si>
  <si>
    <t>Large Mobile Banner</t>
  </si>
  <si>
    <t>160x807</t>
  </si>
  <si>
    <t>JPG, PNG, GIF, HTML12</t>
  </si>
  <si>
    <t>157 KB</t>
  </si>
  <si>
    <t>Master Landscape Video</t>
  </si>
  <si>
    <t>160x808</t>
  </si>
  <si>
    <t>JPG, PNG, GIF, HTML13</t>
  </si>
  <si>
    <t>158 KB</t>
  </si>
  <si>
    <t>Master Portrait Video</t>
  </si>
  <si>
    <t>160x809</t>
  </si>
  <si>
    <t>JPG, PNG, GIF, HTML14</t>
  </si>
  <si>
    <t>159 KB</t>
  </si>
  <si>
    <t>Master Square Video</t>
  </si>
  <si>
    <t>160x810</t>
  </si>
  <si>
    <t>JPG, PNG, GIF, HTML15</t>
  </si>
  <si>
    <t>160 KB</t>
  </si>
  <si>
    <t>Regional Ad - Russia</t>
  </si>
  <si>
    <t>160x811</t>
  </si>
  <si>
    <t>JPG, PNG, GIF, HTML16</t>
  </si>
  <si>
    <t>161 KB</t>
  </si>
  <si>
    <t>Regional Ad - Poland</t>
  </si>
  <si>
    <t>160x812</t>
  </si>
  <si>
    <t>JPG, PNG, GIF, HTML17</t>
  </si>
  <si>
    <t>162 KB</t>
  </si>
  <si>
    <t>Regional Ad - GSA, FR</t>
  </si>
  <si>
    <t>160x813</t>
  </si>
  <si>
    <t>JPG, PNG, GIF, HTML18</t>
  </si>
  <si>
    <t>163 KB</t>
  </si>
  <si>
    <t>Leaderboard</t>
  </si>
  <si>
    <t>160x814</t>
  </si>
  <si>
    <t>JPG, PNG, GIF, HTML19</t>
  </si>
  <si>
    <t>164 KB</t>
  </si>
  <si>
    <t>Medium Rectangle</t>
  </si>
  <si>
    <t>160x815</t>
  </si>
  <si>
    <t>JPG, PNG, GIF, HTML20</t>
  </si>
  <si>
    <t>165 KB</t>
  </si>
  <si>
    <t>Large Rectangle</t>
  </si>
  <si>
    <t>160x816</t>
  </si>
  <si>
    <t>JPG, PNG, GIF, HTML21</t>
  </si>
  <si>
    <t>166 KB</t>
  </si>
  <si>
    <t>Skyscraper</t>
  </si>
  <si>
    <t>160x817</t>
  </si>
  <si>
    <t>JPG, PNG, GIF, HTML22</t>
  </si>
  <si>
    <t>167 KB</t>
  </si>
  <si>
    <t>Half-Page Ad</t>
  </si>
  <si>
    <t>160x818</t>
  </si>
  <si>
    <t>JPG, PNG, GIF, HTML23</t>
  </si>
  <si>
    <t>168 KB</t>
  </si>
  <si>
    <t>Vertical Rectangle (RU only)</t>
  </si>
  <si>
    <t>160x819</t>
  </si>
  <si>
    <t>JPG, PNG, GIF, HTML24</t>
  </si>
  <si>
    <t>169 KB</t>
  </si>
  <si>
    <t>Billboard (PL only)</t>
  </si>
  <si>
    <t>160x820</t>
  </si>
  <si>
    <t>JPG, PNG, GIF, HTML25</t>
  </si>
  <si>
    <t>170 KB</t>
  </si>
  <si>
    <t>Double Billboard (PL only)</t>
  </si>
  <si>
    <t>160x821</t>
  </si>
  <si>
    <t>JPG, PNG, GIF, HTML26</t>
  </si>
  <si>
    <t>171 KB</t>
  </si>
  <si>
    <t>Triple Billboard (PL only)</t>
  </si>
  <si>
    <t>160x822</t>
  </si>
  <si>
    <t>JPG, PNG, GIF, HTML27</t>
  </si>
  <si>
    <t>172 KB</t>
  </si>
  <si>
    <t>Responsive Display Ad</t>
  </si>
  <si>
    <t>160x823</t>
  </si>
  <si>
    <t>JPG, PNG, GIF, HTML28</t>
  </si>
  <si>
    <t>173 KB</t>
  </si>
  <si>
    <t>Ads</t>
  </si>
  <si>
    <t>Device</t>
  </si>
  <si>
    <t>Dimensions</t>
  </si>
  <si>
    <t>CopyRequest</t>
  </si>
  <si>
    <t>AspectRatio</t>
  </si>
  <si>
    <t>FileTypes</t>
  </si>
  <si>
    <t>FileSize</t>
  </si>
  <si>
    <t>VideoDuration</t>
  </si>
  <si>
    <t>ChannelId</t>
  </si>
  <si>
    <t>AdId</t>
  </si>
  <si>
    <t>StrategyId</t>
  </si>
  <si>
    <t>CountryId</t>
  </si>
  <si>
    <t>Strategies</t>
  </si>
  <si>
    <t>Phases</t>
  </si>
  <si>
    <t>Phase 1</t>
  </si>
  <si>
    <t>Phase 2</t>
  </si>
  <si>
    <t>Phase 3</t>
  </si>
  <si>
    <t>Phase 4</t>
  </si>
  <si>
    <t>Strategy 2</t>
  </si>
  <si>
    <t>Strategy 3</t>
  </si>
  <si>
    <t>Strategy 4</t>
  </si>
  <si>
    <t>EXEC sp_msforeachtable "ALTER TABLE ? NOCHECK CONSTRAINT all"</t>
  </si>
  <si>
    <t>EXEC sp_msforeachtable "ALTER TABLE ? WITH CHECK CHECK CONSTRAINT all"</t>
  </si>
  <si>
    <t>SET IDENTITY_INSERT Phases OFF;</t>
  </si>
  <si>
    <t>SET IDENTITY_INSERT Strategies OFF;</t>
  </si>
  <si>
    <t>SET IDENTITY_INSERT Channels OFF;</t>
  </si>
  <si>
    <t>SET IDENTITY_INSERT Countries OFF;</t>
  </si>
  <si>
    <t>SET IDENTITY_INSERT Ads OFF;</t>
  </si>
  <si>
    <t>PhaseStrategies</t>
  </si>
  <si>
    <t>PSChannels</t>
  </si>
  <si>
    <t>PSChannelId</t>
  </si>
  <si>
    <t>PhaseStrategyId</t>
  </si>
  <si>
    <t>PSChannelCountryId</t>
  </si>
  <si>
    <t>PSChannelCountries</t>
  </si>
  <si>
    <t>PSChannelCountryAds</t>
  </si>
  <si>
    <t>ALTER TABLE Phases NOCHECK CONSTRAINT ALL</t>
  </si>
  <si>
    <t>DELETE FROM Phases;</t>
  </si>
  <si>
    <t>ALTER TABLE Strategies NOCHECK CONSTRAINT ALL</t>
  </si>
  <si>
    <t>DELETE FROM Strategies;</t>
  </si>
  <si>
    <t>ALTER TABLE PhaseStrategies NOCHECK CONSTRAINT ALL</t>
  </si>
  <si>
    <t>DELETE FROM PhaseStrategies;</t>
  </si>
  <si>
    <t>ALTER TABLE Channels NOCHECK CONSTRAINT ALL</t>
  </si>
  <si>
    <t>DELETE FROM Channels;</t>
  </si>
  <si>
    <t>ALTER TABLE PSChannels NOCHECK CONSTRAINT ALL</t>
  </si>
  <si>
    <t>DELETE FROM PSChannels;</t>
  </si>
  <si>
    <t>ALTER TABLE Countries NOCHECK CONSTRAINT ALL</t>
  </si>
  <si>
    <t>DELETE FROM Countries;</t>
  </si>
  <si>
    <t>ALTER TABLE PSChannelCountries NOCHECK CONSTRAINT ALL</t>
  </si>
  <si>
    <t>DELETE FROM PSChannelCountries;</t>
  </si>
  <si>
    <t>ALTER TABLE Ads NOCHECK CONSTRAINT ALL</t>
  </si>
  <si>
    <t>DELETE FROM Ads;</t>
  </si>
  <si>
    <t>ALTER TABLE PSChannelCountryAds NOCHECK CONSTRAINT ALL</t>
  </si>
  <si>
    <t>DELETE FROM PSChannelCountryAds;</t>
  </si>
  <si>
    <t>Id</t>
  </si>
  <si>
    <t>Name</t>
  </si>
  <si>
    <t>StartDate</t>
  </si>
  <si>
    <t>EndDate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</si>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</sst>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rgb="FF242729"/>
      <name val="Inherit"/>
    </font>
    <font>
      <b/>
      <sz val="10"/>
      <color rgb="FF242729"/>
      <name val="Inherit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Fill="1"/>
    <xf numFmtId="20" fontId="0" fillId="0" borderId="0" xfId="0" applyNumberFormat="1"/>
    <xf numFmtId="0" fontId="0" fillId="0" borderId="0" xfId="0" applyFont="1"/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14" fontId="0" fillId="0" borderId="0" xfId="0" applyNumberFormat="1" applyFill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3AE5F-2006-4A3C-B805-16801D82CA34}">
  <dimension ref="A1:A18"/>
  <sheetViews>
    <sheetView workbookViewId="0">
      <selection sqref="A1:A18"/>
    </sheetView>
  </sheetViews>
  <sheetFormatPr defaultRowHeight="15"/>
  <cols>
    <col min="1" max="1" width="58" bestFit="1" customWidth="1"/>
  </cols>
  <sheetData>
    <row r="1" spans="1:1">
      <c r="A1" t="s">
        <v>174</v>
      </c>
    </row>
    <row r="2" spans="1:1">
      <c r="A2" t="s">
        <v>176</v>
      </c>
    </row>
    <row r="3" spans="1:1">
      <c r="A3" t="s">
        <v>178</v>
      </c>
    </row>
    <row r="4" spans="1:1">
      <c r="A4" t="s">
        <v>180</v>
      </c>
    </row>
    <row r="5" spans="1:1">
      <c r="A5" t="s">
        <v>182</v>
      </c>
    </row>
    <row r="6" spans="1:1">
      <c r="A6" t="s">
        <v>184</v>
      </c>
    </row>
    <row r="7" spans="1:1">
      <c r="A7" t="s">
        <v>186</v>
      </c>
    </row>
    <row r="8" spans="1:1">
      <c r="A8" t="s">
        <v>188</v>
      </c>
    </row>
    <row r="9" spans="1:1">
      <c r="A9" t="s">
        <v>190</v>
      </c>
    </row>
    <row r="10" spans="1:1">
      <c r="A10" t="s">
        <v>175</v>
      </c>
    </row>
    <row r="11" spans="1:1">
      <c r="A11" t="s">
        <v>177</v>
      </c>
    </row>
    <row r="12" spans="1:1">
      <c r="A12" t="s">
        <v>179</v>
      </c>
    </row>
    <row r="13" spans="1:1">
      <c r="A13" t="s">
        <v>181</v>
      </c>
    </row>
    <row r="14" spans="1:1">
      <c r="A14" t="s">
        <v>183</v>
      </c>
    </row>
    <row r="15" spans="1:1">
      <c r="A15" t="s">
        <v>185</v>
      </c>
    </row>
    <row r="16" spans="1:1">
      <c r="A16" t="s">
        <v>187</v>
      </c>
    </row>
    <row r="17" spans="1:1">
      <c r="A17" t="s">
        <v>189</v>
      </c>
    </row>
    <row r="18" spans="1:1">
      <c r="A18" t="s">
        <v>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3"/>
  <sheetViews>
    <sheetView tabSelected="1" topLeftCell="A114" workbookViewId="0">
      <selection activeCell="A124" sqref="A124:A131"/>
    </sheetView>
  </sheetViews>
  <sheetFormatPr defaultRowHeight="15"/>
  <cols>
    <col min="1" max="1" width="248.85546875" bestFit="1" customWidth="1"/>
  </cols>
  <sheetData>
    <row r="1" spans="1:1">
      <c r="A1" s="1" t="s">
        <v>160</v>
      </c>
    </row>
    <row r="2" spans="1:1">
      <c r="A2" s="1" t="s">
        <v>162</v>
      </c>
    </row>
    <row r="3" spans="1:1">
      <c r="A3" s="1" t="s">
        <v>163</v>
      </c>
    </row>
    <row r="4" spans="1:1">
      <c r="A4" s="1" t="s">
        <v>164</v>
      </c>
    </row>
    <row r="5" spans="1:1">
      <c r="A5" s="1" t="s">
        <v>165</v>
      </c>
    </row>
    <row r="6" spans="1:1">
      <c r="A6" s="1" t="s">
        <v>166</v>
      </c>
    </row>
    <row r="8" spans="1:1">
      <c r="A8" t="str">
        <f>Phases!K8</f>
        <v>ALTER TABLE Phases NOCHECK CONSTRAINT ALL</v>
      </c>
    </row>
    <row r="9" spans="1:1">
      <c r="A9" t="str">
        <f>Phases!K9</f>
        <v>DELETE FROM Phases;</v>
      </c>
    </row>
    <row r="10" spans="1:1">
      <c r="A10" t="str">
        <f>Phases!K10</f>
        <v>SET IDENTITY_INSERT Phases ON;</v>
      </c>
    </row>
    <row r="11" spans="1:1">
      <c r="A11" t="str">
        <f>Phases!K11</f>
        <v>INSERT INTO Phases(Id, Name, StartDate, EndDate) VALUES (1,'Phase 1','20200101','20200331');</v>
      </c>
    </row>
    <row r="12" spans="1:1">
      <c r="A12" t="str">
        <f>Phases!K12</f>
        <v>INSERT INTO Phases(Id, Name, StartDate, EndDate) VALUES (2,'Phase 2','20200401','20200630');</v>
      </c>
    </row>
    <row r="13" spans="1:1">
      <c r="A13" t="str">
        <f>Phases!K13</f>
        <v>INSERT INTO Phases(Id, Name, StartDate, EndDate) VALUES (3,'Phase 3','20200701','20200930');</v>
      </c>
    </row>
    <row r="14" spans="1:1">
      <c r="A14" t="str">
        <f>Phases!K14</f>
        <v>INSERT INTO Phases(Id, Name, StartDate, EndDate) VALUES (4,'Phase 4','20201001','20201231');</v>
      </c>
    </row>
    <row r="15" spans="1:1">
      <c r="A15" t="str">
        <f>Phases!K15</f>
        <v>ALTER TABLE Phases WITH CHECK CHECK CONSTRAINT ALL</v>
      </c>
    </row>
    <row r="16" spans="1:1">
      <c r="A16" t="str">
        <f>Phases!K16</f>
        <v>SET IDENTITY_INSERT Phases OFF;</v>
      </c>
    </row>
    <row r="18" spans="1:1">
      <c r="A18" t="str">
        <f>Strategies!K8</f>
        <v>ALTER TABLE Strategies NOCHECK CONSTRAINT ALL</v>
      </c>
    </row>
    <row r="19" spans="1:1">
      <c r="A19" t="str">
        <f>Strategies!K9</f>
        <v>DELETE FROM Strategies;</v>
      </c>
    </row>
    <row r="20" spans="1:1">
      <c r="A20" t="str">
        <f>Strategies!K10</f>
        <v>SET IDENTITY_INSERT Strategies ON;</v>
      </c>
    </row>
    <row r="21" spans="1:1">
      <c r="A21" t="str">
        <f>Strategies!K11</f>
        <v>INSERT INTO Strategies(Id, Name, StartDate, EndDate) VALUES (1,'Strategy 1','20200101','20200331');</v>
      </c>
    </row>
    <row r="22" spans="1:1">
      <c r="A22" t="str">
        <f>Strategies!K12</f>
        <v>INSERT INTO Strategies(Id, Name, StartDate, EndDate) VALUES (2,'Strategy 2','20200401','20200630');</v>
      </c>
    </row>
    <row r="23" spans="1:1">
      <c r="A23" t="str">
        <f>Strategies!K13</f>
        <v>INSERT INTO Strategies(Id, Name, StartDate, EndDate) VALUES (3,'Strategy 3','20200701','20200930');</v>
      </c>
    </row>
    <row r="24" spans="1:1">
      <c r="A24" t="str">
        <f>Strategies!K14</f>
        <v>INSERT INTO Strategies(Id, Name, StartDate, EndDate) VALUES (4,'Strategy 4','20201001','20201231');</v>
      </c>
    </row>
    <row r="25" spans="1:1">
      <c r="A25" t="str">
        <f>Strategies!K15</f>
        <v>ALTER TABLE Strategies WITH CHECK CHECK CONSTRAINT ALL</v>
      </c>
    </row>
    <row r="26" spans="1:1">
      <c r="A26" t="str">
        <f>Strategies!K16</f>
        <v>SET IDENTITY_INSERT Strategies OFF;</v>
      </c>
    </row>
    <row r="28" spans="1:1">
      <c r="A28" t="str">
        <f>PhaseStrategies!I8</f>
        <v>ALTER TABLE PhaseStrategies NOCHECK CONSTRAINT ALL</v>
      </c>
    </row>
    <row r="29" spans="1:1">
      <c r="A29" t="str">
        <f>PhaseStrategies!I9</f>
        <v>DELETE FROM PhaseStrategies;</v>
      </c>
    </row>
    <row r="30" spans="1:1">
      <c r="A30" t="str">
        <f>PhaseStrategies!I10</f>
        <v>SET IDENTITY_INSERT PhaseStrategies ON;</v>
      </c>
    </row>
    <row r="31" spans="1:1">
      <c r="A31" t="str">
        <f>PhaseStrategies!I11</f>
        <v>INSERT INTO PhaseStrategies(Id, PhaseId, StrategyId) VALUES (1,1,1);</v>
      </c>
    </row>
    <row r="32" spans="1:1">
      <c r="A32" t="str">
        <f>PhaseStrategies!I12</f>
        <v>INSERT INTO PhaseStrategies(Id, PhaseId, StrategyId) VALUES (2,2,2);</v>
      </c>
    </row>
    <row r="33" spans="1:1">
      <c r="A33" t="str">
        <f>PhaseStrategies!I13</f>
        <v>INSERT INTO PhaseStrategies(Id, PhaseId, StrategyId) VALUES (3,3,3);</v>
      </c>
    </row>
    <row r="34" spans="1:1">
      <c r="A34" t="str">
        <f>PhaseStrategies!I14</f>
        <v>INSERT INTO PhaseStrategies(Id, PhaseId, StrategyId) VALUES (4,4,4);</v>
      </c>
    </row>
    <row r="35" spans="1:1">
      <c r="A35" t="str">
        <f>PhaseStrategies!I15</f>
        <v>ALTER TABLE PhaseStrategies WITH CHECK CHECK CONSTRAINT ALL</v>
      </c>
    </row>
    <row r="36" spans="1:1">
      <c r="A36" t="str">
        <f>PhaseStrategies!I16</f>
        <v>SET IDENTITY_INSERT PhaseStrategies OFF;</v>
      </c>
    </row>
    <row r="38" spans="1:1">
      <c r="A38" t="str">
        <f>Channel!G8</f>
        <v>ALTER TABLE Channels NOCHECK CONSTRAINT ALL</v>
      </c>
    </row>
    <row r="39" spans="1:1">
      <c r="A39" t="str">
        <f>Channel!G9</f>
        <v>DELETE FROM Channels;</v>
      </c>
    </row>
    <row r="40" spans="1:1">
      <c r="A40" t="str">
        <f>Channel!G10</f>
        <v>SET IDENTITY_INSERT Channels ON;</v>
      </c>
    </row>
    <row r="41" spans="1:1">
      <c r="A41" t="str">
        <f>Channel!G11</f>
        <v>INSERT INTO Channels(Id, Name) VALUES (1,'Programmatic');</v>
      </c>
    </row>
    <row r="42" spans="1:1">
      <c r="A42" t="str">
        <f>Channel!G12</f>
        <v>INSERT INTO Channels(Id, Name) VALUES (2,'YouTube');</v>
      </c>
    </row>
    <row r="43" spans="1:1">
      <c r="A43" t="str">
        <f>Channel!G13</f>
        <v>INSERT INTO Channels(Id, Name) VALUES (3,'Facebook / Instagram');</v>
      </c>
    </row>
    <row r="44" spans="1:1">
      <c r="A44" t="str">
        <f>Channel!G14</f>
        <v>INSERT INTO Channels(Id, Name) VALUES (4,'Instagram');</v>
      </c>
    </row>
    <row r="45" spans="1:1">
      <c r="A45" t="str">
        <f>Channel!G15</f>
        <v>INSERT INTO Channels(Id, Name) VALUES (5,'Twitter');</v>
      </c>
    </row>
    <row r="46" spans="1:1">
      <c r="A46" t="str">
        <f>Channel!G16</f>
        <v>INSERT INTO Channels(Id, Name) VALUES (6,'VK');</v>
      </c>
    </row>
    <row r="47" spans="1:1">
      <c r="A47" t="str">
        <f>Channel!G17</f>
        <v>INSERT INTO Channels(Id, Name) VALUES (7,'Reddit');</v>
      </c>
    </row>
    <row r="48" spans="1:1">
      <c r="A48" t="str">
        <f>Channel!G18</f>
        <v>INSERT INTO Channels(Id, Name) VALUES (8,'Outbrain');</v>
      </c>
    </row>
    <row r="49" spans="1:1">
      <c r="A49" t="str">
        <f>Channel!G19</f>
        <v>INSERT INTO Channels(Id, Name) VALUES (9,'DV360');</v>
      </c>
    </row>
    <row r="50" spans="1:1">
      <c r="A50" t="str">
        <f>Channel!G20</f>
        <v>INSERT INTO Channels(Id, Name) VALUES (10,'TubeMogul');</v>
      </c>
    </row>
    <row r="51" spans="1:1">
      <c r="A51" t="str">
        <f>Channel!G21</f>
        <v>INSERT INTO Channels(Id, Name) VALUES (11,'GDN / YouTube');</v>
      </c>
    </row>
    <row r="52" spans="1:1">
      <c r="A52" t="str">
        <f>Channel!G22</f>
        <v>INSERT INTO Channels(Id, Name) VALUES (12,'GDN');</v>
      </c>
    </row>
    <row r="53" spans="1:1">
      <c r="A53" t="str">
        <f>Channel!G23</f>
        <v>INSERT INTO Channels(Id, Name) VALUES (13,'Yandex');</v>
      </c>
    </row>
    <row r="54" spans="1:1">
      <c r="A54" t="str">
        <f>Channel!G24</f>
        <v>INSERT INTO Channels(Id, Name) VALUES (14,'Quora');</v>
      </c>
    </row>
    <row r="55" spans="1:1">
      <c r="A55" t="str">
        <f>Channel!G25</f>
        <v>INSERT INTO Channels(Id, Name) VALUES (15,'Spotify');</v>
      </c>
    </row>
    <row r="56" spans="1:1">
      <c r="A56" t="str">
        <f>Channel!G26</f>
        <v>INSERT INTO Channels(Id, Name) VALUES (16,'Tik Tok');</v>
      </c>
    </row>
    <row r="57" spans="1:1">
      <c r="A57" t="str">
        <f>Channel!G27</f>
        <v>INSERT INTO Channels(Id, Name) VALUES (17,'Google search ads');</v>
      </c>
    </row>
    <row r="58" spans="1:1">
      <c r="A58" t="str">
        <f>Channel!G28</f>
        <v>INSERT INTO Channels(Id, Name) VALUES (18,'Bing search ads');</v>
      </c>
    </row>
    <row r="59" spans="1:1">
      <c r="A59" t="str">
        <f>Channel!G29</f>
        <v>INSERT INTO Channels(Id, Name) VALUES (19,'Google Gmail');</v>
      </c>
    </row>
    <row r="60" spans="1:1">
      <c r="A60" t="str">
        <f>Channel!G30</f>
        <v>ALTER TABLE Channels WITH CHECK CHECK CONSTRAINT ALL</v>
      </c>
    </row>
    <row r="61" spans="1:1">
      <c r="A61" t="str">
        <f>Channel!G31</f>
        <v>SET IDENTITY_INSERT Channels OFF;</v>
      </c>
    </row>
    <row r="63" spans="1:1">
      <c r="A63" t="str">
        <f>PSChannels!I8</f>
        <v>ALTER TABLE PSChannels NOCHECK CONSTRAINT ALL</v>
      </c>
    </row>
    <row r="64" spans="1:1">
      <c r="A64" t="str">
        <f>PSChannels!I9</f>
        <v>DELETE FROM PSChannels;</v>
      </c>
    </row>
    <row r="65" spans="1:1">
      <c r="A65" t="str">
        <f>PSChannels!I10</f>
        <v>SET IDENTITY_INSERT PSChannels ON;</v>
      </c>
    </row>
    <row r="66" spans="1:1">
      <c r="A66" t="str">
        <f>PSChannels!I11</f>
        <v>INSERT INTO PSChannels(Id, PhaseStrategyId, ChannelId) VALUES (1,1,1);</v>
      </c>
    </row>
    <row r="67" spans="1:1">
      <c r="A67" t="str">
        <f>PSChannels!I12</f>
        <v>INSERT INTO PSChannels(Id, PhaseStrategyId, ChannelId) VALUES (2,2,2);</v>
      </c>
    </row>
    <row r="68" spans="1:1">
      <c r="A68" t="str">
        <f>PSChannels!I13</f>
        <v>INSERT INTO PSChannels(Id, PhaseStrategyId, ChannelId) VALUES (3,3,3);</v>
      </c>
    </row>
    <row r="69" spans="1:1">
      <c r="A69" t="str">
        <f>PSChannels!I14</f>
        <v>INSERT INTO PSChannels(Id, PhaseStrategyId, ChannelId) VALUES (4,4,4);</v>
      </c>
    </row>
    <row r="70" spans="1:1">
      <c r="A70" t="str">
        <f>PSChannels!I15</f>
        <v>ALTER TABLE PSChannels WITH CHECK CHECK CONSTRAINT ALL</v>
      </c>
    </row>
    <row r="71" spans="1:1">
      <c r="A71" t="str">
        <f>PSChannels!I16</f>
        <v>SET IDENTITY_INSERT PSChannels OFF;</v>
      </c>
    </row>
    <row r="73" spans="1:1">
      <c r="A73" t="str">
        <f>Country!I8</f>
        <v>ALTER TABLE Countries NOCHECK CONSTRAINT ALL</v>
      </c>
    </row>
    <row r="74" spans="1:1">
      <c r="A74" t="str">
        <f>Country!I9</f>
        <v>DELETE FROM Countries;</v>
      </c>
    </row>
    <row r="75" spans="1:1">
      <c r="A75" t="str">
        <f>Country!I10</f>
        <v>SET IDENTITY_INSERT Countries ON;</v>
      </c>
    </row>
    <row r="76" spans="1:1">
      <c r="A76" t="str">
        <f>Country!I11</f>
        <v>INSERT INTO Countries(Id, Code, Name) VALUES (1,'AU','Austria');</v>
      </c>
    </row>
    <row r="77" spans="1:1">
      <c r="A77" t="str">
        <f>Country!I12</f>
        <v>INSERT INTO Countries(Id, Code, Name) VALUES (2,'NZ','New Zealand');</v>
      </c>
    </row>
    <row r="78" spans="1:1">
      <c r="A78" t="str">
        <f>Country!I13</f>
        <v>INSERT INTO Countries(Id, Code, Name) VALUES (3,'IT','Italy');</v>
      </c>
    </row>
    <row r="79" spans="1:1">
      <c r="A79" t="str">
        <f>Country!I14</f>
        <v>INSERT INTO Countries(Id, Code, Name) VALUES (4,'RU','Russia');</v>
      </c>
    </row>
    <row r="80" spans="1:1">
      <c r="A80" t="str">
        <f>Country!I15</f>
        <v>ALTER TABLE Countries WITH CHECK CHECK CONSTRAINT ALL</v>
      </c>
    </row>
    <row r="81" spans="1:1">
      <c r="A81" t="str">
        <f>Country!I16</f>
        <v>SET IDENTITY_INSERT Countries OFF;</v>
      </c>
    </row>
    <row r="83" spans="1:1">
      <c r="A83" t="str">
        <f>PSChannelCountries!I8</f>
        <v>ALTER TABLE PSChannelCountries NOCHECK CONSTRAINT ALL</v>
      </c>
    </row>
    <row r="84" spans="1:1">
      <c r="A84" t="str">
        <f>PSChannelCountries!I9</f>
        <v>DELETE FROM PSChannelCountries;</v>
      </c>
    </row>
    <row r="85" spans="1:1">
      <c r="A85" t="str">
        <f>PSChannelCountries!I10</f>
        <v>SET IDENTITY_INSERT PSChannelCountries ON;</v>
      </c>
    </row>
    <row r="86" spans="1:1">
      <c r="A86" t="str">
        <f>PSChannelCountries!I11</f>
        <v>INSERT INTO PSChannelCountries(Id, CountryId, PSChannelId) VALUES (1,1,1);</v>
      </c>
    </row>
    <row r="87" spans="1:1">
      <c r="A87" t="str">
        <f>PSChannelCountries!I12</f>
        <v>INSERT INTO PSChannelCountries(Id, CountryId, PSChannelId) VALUES (2,2,2);</v>
      </c>
    </row>
    <row r="88" spans="1:1">
      <c r="A88" t="str">
        <f>PSChannelCountries!I13</f>
        <v>INSERT INTO PSChannelCountries(Id, CountryId, PSChannelId) VALUES (3,3,3);</v>
      </c>
    </row>
    <row r="89" spans="1:1">
      <c r="A89" t="str">
        <f>PSChannelCountries!I14</f>
        <v>INSERT INTO PSChannelCountries(Id, CountryId, PSChannelId) VALUES (4,4,4);</v>
      </c>
    </row>
    <row r="90" spans="1:1">
      <c r="A90" t="str">
        <f>PSChannelCountries!I15</f>
        <v>ALTER TABLE PSChannelCountries WITH CHECK CHECK CONSTRAINT ALL</v>
      </c>
    </row>
    <row r="91" spans="1:1">
      <c r="A91" t="str">
        <f>PSChannelCountries!I16</f>
        <v>SET IDENTITY_INSERT PSChannelCountries OFF;</v>
      </c>
    </row>
    <row r="93" spans="1:1">
      <c r="A93" t="str">
        <f>Ad!U8</f>
        <v>ALTER TABLE Ads NOCHECK CONSTRAINT ALL</v>
      </c>
    </row>
    <row r="94" spans="1:1">
      <c r="A94" t="str">
        <f>Ad!U9</f>
        <v>DELETE FROM Ads;</v>
      </c>
    </row>
    <row r="95" spans="1:1">
      <c r="A95" t="str">
        <f>Ad!U10</f>
        <v>SET IDENTITY_INSERT Ads ON;</v>
      </c>
    </row>
    <row r="96" spans="1:1">
      <c r="A96" t="str">
        <f>Ad!U11</f>
        <v>INSERT INTO Ads(Id,Name,Device,Dimensions,CopyRequest,AspectRatio,FileTypes,FileSize,VideoDuration) VALUES (1,'Medium Rectangle / Video Companion Banner','Mobile','160x800','No','0.672916666666667','JPG, PNG, GIF, HTML5','150 KB','30s or less, 3 loops max');</v>
      </c>
    </row>
    <row r="97" spans="1:1">
      <c r="A97" t="str">
        <f>Ad!U12</f>
        <v>INSERT INTO Ads(Id,Name,Device,Dimensions,CopyRequest,AspectRatio,FileTypes,FileSize,VideoDuration) VALUES (2,'Leaderboard / Video Companion Banner','Desktop','160x801','No','0.714583333333333','JPG, PNG, GIF, HTML6','151 KB','30s or less, 3 loops max');</v>
      </c>
    </row>
    <row r="98" spans="1:1">
      <c r="A98" t="str">
        <f>Ad!U13</f>
        <v>INSERT INTO Ads(Id,Name,Device,Dimensions,CopyRequest,AspectRatio,FileTypes,FileSize,VideoDuration) VALUES (3,'Wide Skyscraper','Mobile','160x802','No','0.75625','JPG, PNG, GIF, HTML7','152 KB','30s or less, 3 loops max');</v>
      </c>
    </row>
    <row r="99" spans="1:1">
      <c r="A99" t="str">
        <f>Ad!U14</f>
        <v>INSERT INTO Ads(Id,Name,Device,Dimensions,CopyRequest,AspectRatio,FileTypes,FileSize,VideoDuration) VALUES (4,'Half Page','Mobile','160x803','No','0.797916666666667','JPG, PNG, GIF, HTML8','153 KB','30s or less, 3 loops max');</v>
      </c>
    </row>
    <row r="100" spans="1:1">
      <c r="A100" t="str">
        <f>Ad!U15</f>
        <v>INSERT INTO Ads(Id,Name,Device,Dimensions,CopyRequest,AspectRatio,FileTypes,FileSize,VideoDuration) VALUES (5,'Billboard','Desktop','160x804','No','0.839583333333333','JPG, PNG, GIF, HTML9','154 KB','30s or less, 3 loops max');</v>
      </c>
    </row>
    <row r="101" spans="1:1">
      <c r="A101" t="str">
        <f>Ad!U16</f>
        <v>INSERT INTO Ads(Id,Name,Device,Dimensions,CopyRequest,AspectRatio,FileTypes,FileSize,VideoDuration) VALUES (6,'Mobile Leaderboard','Mobile','160x805','No','0.88125','JPG, PNG, GIF, HTML10','155 KB','30s or less, 3 loops max');</v>
      </c>
    </row>
    <row r="102" spans="1:1">
      <c r="A102" t="str">
        <f>Ad!U17</f>
        <v>INSERT INTO Ads(Id,Name,Device,Dimensions,CopyRequest,AspectRatio,FileTypes,FileSize,VideoDuration) VALUES (7,'Mobile Banner','Mobile','160x806','No','0.922916666666667','JPG, PNG, GIF, HTML11','156 KB','30s or less, 3 loops max');</v>
      </c>
    </row>
    <row r="103" spans="1:1">
      <c r="A103" t="str">
        <f>Ad!U18</f>
        <v>INSERT INTO Ads(Id,Name,Device,Dimensions,CopyRequest,AspectRatio,FileTypes,FileSize,VideoDuration) VALUES (8,'Large Mobile Banner','Mobile','160x807','No','0.964583333333333','JPG, PNG, GIF, HTML12','157 KB','30s or less, 3 loops max');</v>
      </c>
    </row>
    <row r="104" spans="1:1">
      <c r="A104" t="str">
        <f>Ad!U19</f>
        <v>INSERT INTO Ads(Id,Name,Device,Dimensions,CopyRequest,AspectRatio,FileTypes,FileSize,VideoDuration) VALUES (9,'Master Landscape Video','Desktop','160x808','No','0.00625','JPG, PNG, GIF, HTML13','158 KB','30s or less, 3 loops max');</v>
      </c>
    </row>
    <row r="105" spans="1:1">
      <c r="A105" t="str">
        <f>Ad!U20</f>
        <v>INSERT INTO Ads(Id,Name,Device,Dimensions,CopyRequest,AspectRatio,FileTypes,FileSize,VideoDuration) VALUES (10,'Master Portrait Video','Mobile','160x809','No','0.0479166666666667','JPG, PNG, GIF, HTML14','159 KB','30s or less, 3 loops max');</v>
      </c>
    </row>
    <row r="106" spans="1:1">
      <c r="A106" t="str">
        <f>Ad!U21</f>
        <v>INSERT INTO Ads(Id,Name,Device,Dimensions,CopyRequest,AspectRatio,FileTypes,FileSize,VideoDuration) VALUES (11,'Master Square Video','Mobile','160x810','No','0.0895833333333333','JPG, PNG, GIF, HTML15','160 KB','30s or less, 3 loops max');</v>
      </c>
    </row>
    <row r="107" spans="1:1">
      <c r="A107" t="str">
        <f>Ad!U22</f>
        <v>INSERT INTO Ads(Id,Name,Device,Dimensions,CopyRequest,AspectRatio,FileTypes,FileSize,VideoDuration) VALUES (12,'Regional Ad - Russia','Desktop','160x811','No','0.13125','JPG, PNG, GIF, HTML16','161 KB','30s or less, 3 loops max');</v>
      </c>
    </row>
    <row r="108" spans="1:1">
      <c r="A108" t="str">
        <f>Ad!U23</f>
        <v>INSERT INTO Ads(Id,Name,Device,Dimensions,CopyRequest,AspectRatio,FileTypes,FileSize,VideoDuration) VALUES (13,'Regional Ad - Poland','Mobile','160x812','No','0.172916666666667','JPG, PNG, GIF, HTML17','162 KB','30s or less, 3 loops max');</v>
      </c>
    </row>
    <row r="109" spans="1:1">
      <c r="A109" t="str">
        <f>Ad!U24</f>
        <v>INSERT INTO Ads(Id,Name,Device,Dimensions,CopyRequest,AspectRatio,FileTypes,FileSize,VideoDuration) VALUES (14,'Regional Ad - GSA, FR','Desktop','160x813','No','0.214583333333333','JPG, PNG, GIF, HTML18','163 KB','30s or less, 3 loops max');</v>
      </c>
    </row>
    <row r="110" spans="1:1">
      <c r="A110" t="str">
        <f>Ad!U25</f>
        <v>INSERT INTO Ads(Id,Name,Device,Dimensions,CopyRequest,AspectRatio,FileTypes,FileSize,VideoDuration) VALUES (15,'Leaderboard','Mobile','160x814','No','0.25625','JPG, PNG, GIF, HTML19','164 KB','30s or less, 3 loops max');</v>
      </c>
    </row>
    <row r="111" spans="1:1">
      <c r="A111" t="str">
        <f>Ad!U26</f>
        <v>INSERT INTO Ads(Id,Name,Device,Dimensions,CopyRequest,AspectRatio,FileTypes,FileSize,VideoDuration) VALUES (16,'Medium Rectangle','Mobile','160x815','No','0.297916666666667','JPG, PNG, GIF, HTML20','165 KB','30s or less, 3 loops max');</v>
      </c>
    </row>
    <row r="112" spans="1:1">
      <c r="A112" t="str">
        <f>Ad!U27</f>
        <v>INSERT INTO Ads(Id,Name,Device,Dimensions,CopyRequest,AspectRatio,FileTypes,FileSize,VideoDuration) VALUES (17,'Large Rectangle','Mobile','160x816','No','0.339583333333333','JPG, PNG, GIF, HTML21','166 KB','30s or less, 3 loops max');</v>
      </c>
    </row>
    <row r="113" spans="1:1">
      <c r="A113" t="str">
        <f>Ad!U28</f>
        <v>INSERT INTO Ads(Id,Name,Device,Dimensions,CopyRequest,AspectRatio,FileTypes,FileSize,VideoDuration) VALUES (18,'Skyscraper','Desktop','160x817','No','0.38125','JPG, PNG, GIF, HTML22','167 KB','30s or less, 3 loops max');</v>
      </c>
    </row>
    <row r="114" spans="1:1">
      <c r="A114" t="str">
        <f>Ad!U29</f>
        <v>INSERT INTO Ads(Id,Name,Device,Dimensions,CopyRequest,AspectRatio,FileTypes,FileSize,VideoDuration) VALUES (19,'Half-Page Ad','Mobile','160x818','No','0.422916666666667','JPG, PNG, GIF, HTML23','168 KB','30s or less, 3 loops max');</v>
      </c>
    </row>
    <row r="115" spans="1:1">
      <c r="A115" t="str">
        <f>Ad!U30</f>
        <v>INSERT INTO Ads(Id,Name,Device,Dimensions,CopyRequest,AspectRatio,FileTypes,FileSize,VideoDuration) VALUES (20,'Vertical Rectangle (RU only)','Mobile','160x819','No','0.464583333333333','JPG, PNG, GIF, HTML24','169 KB','30s or less, 3 loops max');</v>
      </c>
    </row>
    <row r="116" spans="1:1">
      <c r="A116" t="str">
        <f>Ad!U31</f>
        <v>INSERT INTO Ads(Id,Name,Device,Dimensions,CopyRequest,AspectRatio,FileTypes,FileSize,VideoDuration) VALUES (21,'Billboard (PL only)','Desktop','160x820','No','0.50625','JPG, PNG, GIF, HTML25','170 KB','30s or less, 3 loops max');</v>
      </c>
    </row>
    <row r="117" spans="1:1">
      <c r="A117" t="str">
        <f>Ad!U32</f>
        <v>INSERT INTO Ads(Id,Name,Device,Dimensions,CopyRequest,AspectRatio,FileTypes,FileSize,VideoDuration) VALUES (22,'Double Billboard (PL only)','Desktop','160x821','No','0.547916666666667','JPG, PNG, GIF, HTML26','171 KB','30s or less, 3 loops max');</v>
      </c>
    </row>
    <row r="118" spans="1:1">
      <c r="A118" t="str">
        <f>Ad!U33</f>
        <v>INSERT INTO Ads(Id,Name,Device,Dimensions,CopyRequest,AspectRatio,FileTypes,FileSize,VideoDuration) VALUES (23,'Triple Billboard (PL only)','Mobile','160x822','No','0.589583333333333','JPG, PNG, GIF, HTML27','172 KB','30s or less, 3 loops max');</v>
      </c>
    </row>
    <row r="119" spans="1:1">
      <c r="A119" t="str">
        <f>Ad!U34</f>
        <v>INSERT INTO Ads(Id,Name,Device,Dimensions,CopyRequest,AspectRatio,FileTypes,FileSize,VideoDuration) VALUES (24,'Responsive Display Ad','Desktop','160x823','No','0.63125','JPG, PNG, GIF, HTML28','173 KB','30s or less, 3 loops max');</v>
      </c>
    </row>
    <row r="120" spans="1:1">
      <c r="A120" t="str">
        <f>Ad!U35</f>
        <v>ALTER TABLE Ads WITH CHECK CHECK CONSTRAINT ALL</v>
      </c>
    </row>
    <row r="121" spans="1:1">
      <c r="A121" t="str">
        <f>Ad!U36</f>
        <v>SET IDENTITY_INSERT Ads OFF;</v>
      </c>
    </row>
    <row r="123" spans="1:1">
      <c r="A123" t="str">
        <f>PSChannelCountriesAds!I8</f>
        <v>ALTER TABLE PSChannelCountryAds NOCHECK CONSTRAINT ALL</v>
      </c>
    </row>
    <row r="124" spans="1:1">
      <c r="A124" t="str">
        <f>PSChannelCountriesAds!I9</f>
        <v>DELETE FROM PSChannelCountryAds;</v>
      </c>
    </row>
    <row r="125" spans="1:1">
      <c r="A125" t="str">
        <f>PSChannelCountriesAds!I10</f>
        <v>SET IDENTITY_INSERT PSChannelCountryAds ON;</v>
      </c>
    </row>
    <row r="126" spans="1:1">
      <c r="A126" t="str">
        <f>PSChannelCountriesAds!I11</f>
        <v>INSERT INTO PSChannelCountryAds(Id, PSChannelCountryId, AdId) VALUES (1,1,1);</v>
      </c>
    </row>
    <row r="127" spans="1:1">
      <c r="A127" t="str">
        <f>PSChannelCountriesAds!I12</f>
        <v>INSERT INTO PSChannelCountryAds(Id, PSChannelCountryId, AdId) VALUES (2,2,2);</v>
      </c>
    </row>
    <row r="128" spans="1:1">
      <c r="A128" t="str">
        <f>PSChannelCountriesAds!I13</f>
        <v>INSERT INTO PSChannelCountryAds(Id, PSChannelCountryId, AdId) VALUES (3,3,3);</v>
      </c>
    </row>
    <row r="129" spans="1:1">
      <c r="A129" t="str">
        <f>PSChannelCountriesAds!I14</f>
        <v>INSERT INTO PSChannelCountryAds(Id, PSChannelCountryId, AdId) VALUES (4,4,4);</v>
      </c>
    </row>
    <row r="130" spans="1:1">
      <c r="A130" t="str">
        <f>PSChannelCountriesAds!I15</f>
        <v>ALTER TABLE PSChannelCountryAds WITH CHECK CHECK CONSTRAINT ALL</v>
      </c>
    </row>
    <row r="131" spans="1:1">
      <c r="A131" t="str">
        <f>PSChannelCountriesAds!I16</f>
        <v>SET IDENTITY_INSERT PSChannelCountryAds OFF;</v>
      </c>
    </row>
    <row r="133" spans="1:1">
      <c r="A133" s="7" t="s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workbookViewId="0">
      <selection activeCell="K8" sqref="K8:K16"/>
    </sheetView>
  </sheetViews>
  <sheetFormatPr defaultRowHeight="15"/>
  <cols>
    <col min="1" max="1" width="14.7109375" bestFit="1" customWidth="1"/>
    <col min="2" max="2" width="61.7109375" bestFit="1" customWidth="1"/>
    <col min="3" max="3" width="24" bestFit="1" customWidth="1"/>
    <col min="4" max="5" width="24" customWidth="1"/>
    <col min="6" max="6" width="2" bestFit="1" customWidth="1"/>
    <col min="7" max="7" width="8.5703125" bestFit="1" customWidth="1"/>
    <col min="8" max="9" width="11.5703125" bestFit="1" customWidth="1"/>
    <col min="10" max="10" width="29.7109375" bestFit="1" customWidth="1"/>
    <col min="11" max="11" width="107.7109375" customWidth="1"/>
  </cols>
  <sheetData>
    <row r="1" spans="1:11">
      <c r="A1" s="1" t="s">
        <v>33</v>
      </c>
      <c r="B1" s="3" t="s">
        <v>152</v>
      </c>
    </row>
    <row r="2" spans="1:11">
      <c r="A2" s="1" t="s">
        <v>32</v>
      </c>
      <c r="B2" t="str">
        <f>"INSERT INTO " &amp; B1 &amp; "("</f>
        <v>INSERT INTO Phases(</v>
      </c>
    </row>
    <row r="3" spans="1:11">
      <c r="A3" s="1" t="s">
        <v>35</v>
      </c>
      <c r="B3" t="str">
        <f>") VALUES ("</f>
        <v>) VALUES (</v>
      </c>
    </row>
    <row r="4" spans="1:11">
      <c r="A4" s="1" t="s">
        <v>31</v>
      </c>
      <c r="B4" t="str">
        <f>");"</f>
        <v>);</v>
      </c>
    </row>
    <row r="5" spans="1:11">
      <c r="A5" s="1" t="s">
        <v>30</v>
      </c>
      <c r="B5" s="1" t="str">
        <f t="shared" ref="B5:E5" si="0">B10</f>
        <v>Id</v>
      </c>
      <c r="C5" s="1" t="str">
        <f t="shared" si="0"/>
        <v>Name</v>
      </c>
      <c r="D5" s="1" t="str">
        <f t="shared" si="0"/>
        <v>StartDate</v>
      </c>
      <c r="E5" s="1" t="str">
        <f t="shared" si="0"/>
        <v>EndDate</v>
      </c>
    </row>
    <row r="6" spans="1:11">
      <c r="A6" s="1" t="s">
        <v>34</v>
      </c>
      <c r="B6" t="str">
        <f>B5</f>
        <v>Id</v>
      </c>
      <c r="C6" t="str">
        <f>B6 &amp; ", " &amp; C5</f>
        <v>Id, Name</v>
      </c>
      <c r="D6" t="str">
        <f>C6 &amp; ", " &amp; D5</f>
        <v>Id, Name, StartDate</v>
      </c>
      <c r="E6" t="str">
        <f>D6 &amp; ", " &amp; E5</f>
        <v>Id, Name, StartDate, EndDate</v>
      </c>
    </row>
    <row r="7" spans="1:11">
      <c r="A7" s="1" t="s">
        <v>38</v>
      </c>
      <c r="B7" t="str">
        <f>B2 &amp; E6 &amp; B3</f>
        <v>INSERT INTO Phases(Id, Name, StartDate, EndDate) VALUES (</v>
      </c>
    </row>
    <row r="8" spans="1:11">
      <c r="K8" s="6" t="str">
        <f>"ALTER TABLE " &amp; $B$1 &amp; " NOCHECK CONSTRAINT ALL"</f>
        <v>ALTER TABLE Phases NOCHECK CONSTRAINT ALL</v>
      </c>
    </row>
    <row r="9" spans="1:11">
      <c r="B9" s="10" t="s">
        <v>37</v>
      </c>
      <c r="C9" s="10"/>
      <c r="D9" s="9"/>
      <c r="E9" s="9"/>
      <c r="K9" t="str">
        <f>"DELETE FROM " &amp; $B$1 &amp; ";"</f>
        <v>DELETE FROM Phases;</v>
      </c>
    </row>
    <row r="10" spans="1:11">
      <c r="B10" s="1" t="s">
        <v>192</v>
      </c>
      <c r="C10" s="1" t="s">
        <v>193</v>
      </c>
      <c r="D10" s="1" t="s">
        <v>194</v>
      </c>
      <c r="E10" s="1" t="s">
        <v>195</v>
      </c>
      <c r="K10" t="str">
        <f>"SET IDENTITY_INSERT " &amp; $B$1 &amp; " ON;"</f>
        <v>SET IDENTITY_INSERT Phases ON;</v>
      </c>
    </row>
    <row r="11" spans="1:11">
      <c r="B11">
        <v>1</v>
      </c>
      <c r="C11" s="3" t="s">
        <v>153</v>
      </c>
      <c r="D11" s="8">
        <v>43831</v>
      </c>
      <c r="E11" s="8">
        <v>43921</v>
      </c>
      <c r="F11">
        <f>B11</f>
        <v>1</v>
      </c>
      <c r="G11" t="str">
        <f>"'" &amp; C11 &amp; "'"</f>
        <v>'Phase 1'</v>
      </c>
      <c r="H11" t="str">
        <f>"'" &amp; TEXT(D11, "YYYYMMDD") &amp; "'"</f>
        <v>'20200101'</v>
      </c>
      <c r="I11" t="str">
        <f>"'" &amp; TEXT(E11, "YYYYMMDD") &amp; "'"</f>
        <v>'20200331'</v>
      </c>
      <c r="J11" t="str">
        <f>_xlfn.CONCAT(F11,",",G11,",",H11,",",I11)</f>
        <v>1,'Phase 1','20200101','20200331'</v>
      </c>
      <c r="K11" t="str">
        <f>$B$7 &amp; J11 &amp; $B$4</f>
        <v>INSERT INTO Phases(Id, Name, StartDate, EndDate) VALUES (1,'Phase 1','20200101','20200331');</v>
      </c>
    </row>
    <row r="12" spans="1:11">
      <c r="B12">
        <v>2</v>
      </c>
      <c r="C12" s="3" t="s">
        <v>154</v>
      </c>
      <c r="D12" s="8">
        <v>43922</v>
      </c>
      <c r="E12" s="8">
        <v>44012</v>
      </c>
      <c r="F12">
        <f t="shared" ref="F12:F14" si="1">B12</f>
        <v>2</v>
      </c>
      <c r="G12" t="str">
        <f t="shared" ref="G12:G14" si="2">"'" &amp; C12 &amp; "'"</f>
        <v>'Phase 2'</v>
      </c>
      <c r="H12" t="str">
        <f t="shared" ref="H12:H14" si="3">"'" &amp; TEXT(D12, "YYYYMMDD") &amp; "'"</f>
        <v>'20200401'</v>
      </c>
      <c r="I12" t="str">
        <f t="shared" ref="I12:I14" si="4">"'" &amp; TEXT(E12, "YYYYMMDD") &amp; "'"</f>
        <v>'20200630'</v>
      </c>
      <c r="J12" t="str">
        <f t="shared" ref="J12:J14" si="5">_xlfn.CONCAT(F12,",",G12,",",H12,",",I12)</f>
        <v>2,'Phase 2','20200401','20200630'</v>
      </c>
      <c r="K12" t="str">
        <f t="shared" ref="K12:K14" si="6">$B$7 &amp; J12 &amp; $B$4</f>
        <v>INSERT INTO Phases(Id, Name, StartDate, EndDate) VALUES (2,'Phase 2','20200401','20200630');</v>
      </c>
    </row>
    <row r="13" spans="1:11">
      <c r="B13">
        <v>3</v>
      </c>
      <c r="C13" s="3" t="s">
        <v>155</v>
      </c>
      <c r="D13" s="8">
        <v>44013</v>
      </c>
      <c r="E13" s="8">
        <v>44104</v>
      </c>
      <c r="F13">
        <f t="shared" si="1"/>
        <v>3</v>
      </c>
      <c r="G13" t="str">
        <f t="shared" si="2"/>
        <v>'Phase 3'</v>
      </c>
      <c r="H13" t="str">
        <f t="shared" si="3"/>
        <v>'20200701'</v>
      </c>
      <c r="I13" t="str">
        <f t="shared" si="4"/>
        <v>'20200930'</v>
      </c>
      <c r="J13" t="str">
        <f t="shared" si="5"/>
        <v>3,'Phase 3','20200701','20200930'</v>
      </c>
      <c r="K13" t="str">
        <f t="shared" si="6"/>
        <v>INSERT INTO Phases(Id, Name, StartDate, EndDate) VALUES (3,'Phase 3','20200701','20200930');</v>
      </c>
    </row>
    <row r="14" spans="1:11">
      <c r="B14">
        <v>4</v>
      </c>
      <c r="C14" s="3" t="s">
        <v>156</v>
      </c>
      <c r="D14" s="8">
        <v>44105</v>
      </c>
      <c r="E14" s="8">
        <v>44196</v>
      </c>
      <c r="F14">
        <f t="shared" si="1"/>
        <v>4</v>
      </c>
      <c r="G14" t="str">
        <f t="shared" si="2"/>
        <v>'Phase 4'</v>
      </c>
      <c r="H14" t="str">
        <f t="shared" si="3"/>
        <v>'20201001'</v>
      </c>
      <c r="I14" t="str">
        <f t="shared" si="4"/>
        <v>'20201231'</v>
      </c>
      <c r="J14" t="str">
        <f t="shared" si="5"/>
        <v>4,'Phase 4','20201001','20201231'</v>
      </c>
      <c r="K14" t="str">
        <f t="shared" si="6"/>
        <v>INSERT INTO Phases(Id, Name, StartDate, EndDate) VALUES (4,'Phase 4','20201001','20201231');</v>
      </c>
    </row>
    <row r="15" spans="1:11">
      <c r="K15" s="6" t="str">
        <f>"ALTER TABLE " &amp; $B$1 &amp; " WITH CHECK CHECK CONSTRAINT ALL"</f>
        <v>ALTER TABLE Phases WITH CHECK CHECK CONSTRAINT ALL</v>
      </c>
    </row>
    <row r="16" spans="1:11">
      <c r="K16" t="str">
        <f>"SET IDENTITY_INSERT " &amp; $B$1 &amp; " OFF;"</f>
        <v>SET IDENTITY_INSERT Phases OFF;</v>
      </c>
    </row>
    <row r="17" spans="1:5">
      <c r="A17" s="1"/>
    </row>
    <row r="18" spans="1:5">
      <c r="A18" s="1"/>
      <c r="B18" s="3"/>
      <c r="C18" s="3"/>
      <c r="D18" s="3"/>
      <c r="E18" s="3"/>
    </row>
    <row r="19" spans="1:5">
      <c r="A19" s="1"/>
      <c r="B19" s="8"/>
      <c r="C19" s="8"/>
      <c r="D19" s="8"/>
      <c r="E19" s="8"/>
    </row>
    <row r="20" spans="1:5">
      <c r="A20" s="1"/>
      <c r="B20" s="8"/>
      <c r="C20" s="8"/>
      <c r="D20" s="8"/>
      <c r="E20" s="8"/>
    </row>
    <row r="21" spans="1:5">
      <c r="A21" s="1"/>
      <c r="B21" s="8"/>
      <c r="C21" s="8"/>
      <c r="D21" s="8"/>
      <c r="E21" s="8"/>
    </row>
  </sheetData>
  <mergeCells count="1">
    <mergeCell ref="B9:C9"/>
  </mergeCells>
  <phoneticPr fontId="18" type="noConversion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workbookViewId="0">
      <selection activeCell="B6" sqref="B6"/>
    </sheetView>
  </sheetViews>
  <sheetFormatPr defaultRowHeight="15"/>
  <cols>
    <col min="1" max="1" width="16" bestFit="1" customWidth="1"/>
    <col min="2" max="2" width="52.42578125" bestFit="1" customWidth="1"/>
    <col min="3" max="3" width="18.28515625" customWidth="1"/>
    <col min="4" max="4" width="17.42578125" customWidth="1"/>
    <col min="5" max="5" width="13.140625" bestFit="1" customWidth="1"/>
    <col min="6" max="6" width="12" customWidth="1"/>
    <col min="7" max="7" width="23.7109375" customWidth="1"/>
    <col min="10" max="10" width="31.7109375" bestFit="1" customWidth="1"/>
  </cols>
  <sheetData>
    <row r="1" spans="1:11">
      <c r="A1" s="1" t="s">
        <v>33</v>
      </c>
      <c r="B1" s="3" t="s">
        <v>151</v>
      </c>
    </row>
    <row r="2" spans="1:11">
      <c r="A2" s="1" t="s">
        <v>32</v>
      </c>
      <c r="B2" t="str">
        <f>"INSERT INTO " &amp; B1 &amp; "("</f>
        <v>INSERT INTO Strategies(</v>
      </c>
    </row>
    <row r="3" spans="1:11">
      <c r="A3" s="1" t="s">
        <v>35</v>
      </c>
      <c r="B3" t="str">
        <f>") VALUES ("</f>
        <v>) VALUES (</v>
      </c>
    </row>
    <row r="4" spans="1:11">
      <c r="A4" s="1" t="s">
        <v>31</v>
      </c>
      <c r="B4" t="str">
        <f>");"</f>
        <v>);</v>
      </c>
    </row>
    <row r="5" spans="1:11">
      <c r="A5" s="1" t="s">
        <v>30</v>
      </c>
      <c r="B5" s="5" t="str">
        <f t="shared" ref="B5:E5" si="0">B10</f>
        <v>Id</v>
      </c>
      <c r="C5" s="5" t="str">
        <f t="shared" si="0"/>
        <v>Name</v>
      </c>
      <c r="D5" s="5" t="str">
        <f t="shared" si="0"/>
        <v>StartDate</v>
      </c>
      <c r="E5" s="5" t="str">
        <f t="shared" si="0"/>
        <v>EndDate</v>
      </c>
    </row>
    <row r="6" spans="1:11">
      <c r="A6" s="1" t="s">
        <v>34</v>
      </c>
      <c r="B6" t="str">
        <f>B5</f>
        <v>Id</v>
      </c>
      <c r="C6" t="str">
        <f>B6 &amp; ", " &amp; C5</f>
        <v>Id, Name</v>
      </c>
      <c r="D6" t="str">
        <f>C6 &amp; ", " &amp; D5</f>
        <v>Id, Name, StartDate</v>
      </c>
      <c r="E6" t="str">
        <f>D6 &amp; ", " &amp; E5</f>
        <v>Id, Name, StartDate, EndDate</v>
      </c>
    </row>
    <row r="7" spans="1:11">
      <c r="A7" s="1" t="s">
        <v>38</v>
      </c>
      <c r="B7" t="str">
        <f>B2 &amp; E6 &amp; B3</f>
        <v>INSERT INTO Strategies(Id, Name, StartDate, EndDate) VALUES (</v>
      </c>
    </row>
    <row r="8" spans="1:11">
      <c r="K8" s="6" t="str">
        <f>"ALTER TABLE " &amp; $B$1 &amp; " NOCHECK CONSTRAINT ALL"</f>
        <v>ALTER TABLE Strategies NOCHECK CONSTRAINT ALL</v>
      </c>
    </row>
    <row r="9" spans="1:11">
      <c r="B9" s="10" t="s">
        <v>37</v>
      </c>
      <c r="C9" s="10"/>
      <c r="D9" s="9"/>
      <c r="E9" s="9"/>
      <c r="K9" t="str">
        <f>"DELETE FROM " &amp; $B$1 &amp; ";"</f>
        <v>DELETE FROM Strategies;</v>
      </c>
    </row>
    <row r="10" spans="1:11">
      <c r="B10" s="1" t="s">
        <v>192</v>
      </c>
      <c r="C10" s="1" t="s">
        <v>193</v>
      </c>
      <c r="D10" s="1" t="s">
        <v>194</v>
      </c>
      <c r="E10" s="1" t="s">
        <v>195</v>
      </c>
      <c r="K10" t="str">
        <f>"SET IDENTITY_INSERT " &amp; $B$1 &amp; " ON;"</f>
        <v>SET IDENTITY_INSERT Strategies ON;</v>
      </c>
    </row>
    <row r="11" spans="1:11">
      <c r="B11">
        <v>1</v>
      </c>
      <c r="C11" s="3" t="s">
        <v>36</v>
      </c>
      <c r="D11" s="8">
        <v>43831</v>
      </c>
      <c r="E11" s="8">
        <v>43921</v>
      </c>
      <c r="F11">
        <f>B11</f>
        <v>1</v>
      </c>
      <c r="G11" t="str">
        <f>"'" &amp; C11 &amp; "'"</f>
        <v>'Strategy 1'</v>
      </c>
      <c r="H11" t="str">
        <f>"'" &amp; TEXT(D11, "YYYYMMDD") &amp; "'"</f>
        <v>'20200101'</v>
      </c>
      <c r="I11" t="str">
        <f>"'" &amp; TEXT(E11, "YYYYMMDD") &amp; "'"</f>
        <v>'20200331'</v>
      </c>
      <c r="J11" t="str">
        <f>_xlfn.CONCAT(F11,",",G11,",",H11,",",I11)</f>
        <v>1,'Strategy 1','20200101','20200331'</v>
      </c>
      <c r="K11" t="str">
        <f>$B$7 &amp; J11 &amp; $B$4</f>
        <v>INSERT INTO Strategies(Id, Name, StartDate, EndDate) VALUES (1,'Strategy 1','20200101','20200331');</v>
      </c>
    </row>
    <row r="12" spans="1:11">
      <c r="B12">
        <v>2</v>
      </c>
      <c r="C12" s="3" t="s">
        <v>157</v>
      </c>
      <c r="D12" s="8">
        <v>43922</v>
      </c>
      <c r="E12" s="8">
        <v>44012</v>
      </c>
      <c r="F12">
        <f t="shared" ref="F12:F14" si="1">B12</f>
        <v>2</v>
      </c>
      <c r="G12" t="str">
        <f t="shared" ref="G12:G14" si="2">"'" &amp; C12 &amp; "'"</f>
        <v>'Strategy 2'</v>
      </c>
      <c r="H12" t="str">
        <f t="shared" ref="H12:I14" si="3">"'" &amp; TEXT(D12, "YYYYMMDD") &amp; "'"</f>
        <v>'20200401'</v>
      </c>
      <c r="I12" t="str">
        <f t="shared" si="3"/>
        <v>'20200630'</v>
      </c>
      <c r="J12" t="str">
        <f t="shared" ref="J12:J14" si="4">_xlfn.CONCAT(F12,",",G12,",",H12,",",I12)</f>
        <v>2,'Strategy 2','20200401','20200630'</v>
      </c>
      <c r="K12" t="str">
        <f t="shared" ref="K12:K14" si="5">$B$7 &amp; J12 &amp; $B$4</f>
        <v>INSERT INTO Strategies(Id, Name, StartDate, EndDate) VALUES (2,'Strategy 2','20200401','20200630');</v>
      </c>
    </row>
    <row r="13" spans="1:11">
      <c r="B13">
        <v>3</v>
      </c>
      <c r="C13" s="3" t="s">
        <v>158</v>
      </c>
      <c r="D13" s="8">
        <v>44013</v>
      </c>
      <c r="E13" s="8">
        <v>44104</v>
      </c>
      <c r="F13">
        <f t="shared" si="1"/>
        <v>3</v>
      </c>
      <c r="G13" t="str">
        <f t="shared" si="2"/>
        <v>'Strategy 3'</v>
      </c>
      <c r="H13" t="str">
        <f t="shared" si="3"/>
        <v>'20200701'</v>
      </c>
      <c r="I13" t="str">
        <f t="shared" si="3"/>
        <v>'20200930'</v>
      </c>
      <c r="J13" t="str">
        <f t="shared" si="4"/>
        <v>3,'Strategy 3','20200701','20200930'</v>
      </c>
      <c r="K13" t="str">
        <f t="shared" si="5"/>
        <v>INSERT INTO Strategies(Id, Name, StartDate, EndDate) VALUES (3,'Strategy 3','20200701','20200930');</v>
      </c>
    </row>
    <row r="14" spans="1:11">
      <c r="B14">
        <v>4</v>
      </c>
      <c r="C14" s="3" t="s">
        <v>159</v>
      </c>
      <c r="D14" s="8">
        <v>44105</v>
      </c>
      <c r="E14" s="8">
        <v>44196</v>
      </c>
      <c r="F14">
        <f t="shared" si="1"/>
        <v>4</v>
      </c>
      <c r="G14" t="str">
        <f t="shared" si="2"/>
        <v>'Strategy 4'</v>
      </c>
      <c r="H14" t="str">
        <f t="shared" si="3"/>
        <v>'20201001'</v>
      </c>
      <c r="I14" t="str">
        <f t="shared" si="3"/>
        <v>'20201231'</v>
      </c>
      <c r="J14" t="str">
        <f t="shared" si="4"/>
        <v>4,'Strategy 4','20201001','20201231'</v>
      </c>
      <c r="K14" t="str">
        <f t="shared" si="5"/>
        <v>INSERT INTO Strategies(Id, Name, StartDate, EndDate) VALUES (4,'Strategy 4','20201001','20201231');</v>
      </c>
    </row>
    <row r="15" spans="1:11">
      <c r="K15" s="6" t="str">
        <f>"ALTER TABLE " &amp; $B$1 &amp; " WITH CHECK CHECK CONSTRAINT ALL"</f>
        <v>ALTER TABLE Strategies WITH CHECK CHECK CONSTRAINT ALL</v>
      </c>
    </row>
    <row r="16" spans="1:11">
      <c r="K16" t="str">
        <f>"SET IDENTITY_INSERT " &amp; $B$1 &amp; " OFF;"</f>
        <v>SET IDENTITY_INSERT Strategies OFF;</v>
      </c>
    </row>
  </sheetData>
  <mergeCells count="1">
    <mergeCell ref="B9:C9"/>
  </mergeCells>
  <phoneticPr fontId="18" type="noConversion"/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93286-F274-4A43-A6E3-B743DC545E88}">
  <dimension ref="A1:I16"/>
  <sheetViews>
    <sheetView workbookViewId="0">
      <selection activeCell="C5" sqref="C5"/>
    </sheetView>
  </sheetViews>
  <sheetFormatPr defaultRowHeight="15"/>
  <cols>
    <col min="1" max="1" width="11.5703125" bestFit="1" customWidth="1"/>
    <col min="2" max="2" width="55.140625" bestFit="1" customWidth="1"/>
    <col min="3" max="3" width="18.28515625" bestFit="1" customWidth="1"/>
    <col min="4" max="4" width="10" customWidth="1"/>
    <col min="7" max="7" width="12.5703125" customWidth="1"/>
    <col min="9" max="9" width="76.28515625" bestFit="1" customWidth="1"/>
  </cols>
  <sheetData>
    <row r="1" spans="1:9">
      <c r="A1" s="1" t="s">
        <v>33</v>
      </c>
      <c r="B1" s="3" t="s">
        <v>167</v>
      </c>
    </row>
    <row r="2" spans="1:9">
      <c r="A2" s="1" t="s">
        <v>32</v>
      </c>
      <c r="B2" t="str">
        <f>"INSERT INTO " &amp; B1 &amp; "("</f>
        <v>INSERT INTO PhaseStrategies(</v>
      </c>
    </row>
    <row r="3" spans="1:9">
      <c r="A3" s="1" t="s">
        <v>35</v>
      </c>
      <c r="B3" t="str">
        <f>") VALUES ("</f>
        <v>) VALUES (</v>
      </c>
    </row>
    <row r="4" spans="1:9">
      <c r="A4" s="1" t="s">
        <v>31</v>
      </c>
      <c r="B4" t="str">
        <f>");"</f>
        <v>);</v>
      </c>
    </row>
    <row r="5" spans="1:9">
      <c r="A5" s="1" t="s">
        <v>30</v>
      </c>
      <c r="B5" s="1" t="str">
        <f t="shared" ref="B5:D5" si="0">B10</f>
        <v>Id</v>
      </c>
      <c r="C5" s="1" t="str">
        <f t="shared" si="0"/>
        <v>PhaseId</v>
      </c>
      <c r="D5" s="1" t="str">
        <f t="shared" si="0"/>
        <v>StrategyId</v>
      </c>
    </row>
    <row r="6" spans="1:9">
      <c r="A6" s="1" t="s">
        <v>34</v>
      </c>
      <c r="B6" t="str">
        <f>B5</f>
        <v>Id</v>
      </c>
      <c r="C6" t="str">
        <f>B6 &amp; ", " &amp; C5</f>
        <v>Id, PhaseId</v>
      </c>
      <c r="D6" t="str">
        <f>C6 &amp; ", " &amp; D5</f>
        <v>Id, PhaseId, StrategyId</v>
      </c>
    </row>
    <row r="7" spans="1:9">
      <c r="A7" s="1" t="s">
        <v>38</v>
      </c>
      <c r="B7" t="str">
        <f>B2 &amp; D6 &amp; B3</f>
        <v>INSERT INTO PhaseStrategies(Id, PhaseId, StrategyId) VALUES (</v>
      </c>
    </row>
    <row r="8" spans="1:9">
      <c r="I8" s="6" t="str">
        <f>"ALTER TABLE " &amp; $B$1 &amp; " NOCHECK CONSTRAINT ALL"</f>
        <v>ALTER TABLE PhaseStrategies NOCHECK CONSTRAINT ALL</v>
      </c>
    </row>
    <row r="9" spans="1:9">
      <c r="B9" s="10" t="s">
        <v>37</v>
      </c>
      <c r="C9" s="10"/>
      <c r="I9" t="str">
        <f>"DELETE FROM " &amp; $B$1 &amp; ";"</f>
        <v>DELETE FROM PhaseStrategies;</v>
      </c>
    </row>
    <row r="10" spans="1:9">
      <c r="B10" s="1" t="s">
        <v>192</v>
      </c>
      <c r="C10" s="1" t="s">
        <v>29</v>
      </c>
      <c r="D10" s="1" t="s">
        <v>149</v>
      </c>
      <c r="I10" t="str">
        <f>"SET IDENTITY_INSERT " &amp; $B$1 &amp; " ON;"</f>
        <v>SET IDENTITY_INSERT PhaseStrategies ON;</v>
      </c>
    </row>
    <row r="11" spans="1:9">
      <c r="B11">
        <v>1</v>
      </c>
      <c r="C11">
        <v>1</v>
      </c>
      <c r="D11" s="3">
        <v>1</v>
      </c>
      <c r="E11">
        <f>B11</f>
        <v>1</v>
      </c>
      <c r="F11">
        <f>C11</f>
        <v>1</v>
      </c>
      <c r="G11">
        <f>D11</f>
        <v>1</v>
      </c>
      <c r="H11" t="str">
        <f>_xlfn.CONCAT(E11,",",F11,",",G11)</f>
        <v>1,1,1</v>
      </c>
      <c r="I11" t="str">
        <f>$B$7 &amp; H11 &amp; $B$4</f>
        <v>INSERT INTO PhaseStrategies(Id, PhaseId, StrategyId) VALUES (1,1,1);</v>
      </c>
    </row>
    <row r="12" spans="1:9">
      <c r="B12">
        <v>2</v>
      </c>
      <c r="C12">
        <v>2</v>
      </c>
      <c r="D12" s="3">
        <v>2</v>
      </c>
      <c r="E12">
        <f t="shared" ref="E12:G14" si="1">B12</f>
        <v>2</v>
      </c>
      <c r="F12">
        <f t="shared" si="1"/>
        <v>2</v>
      </c>
      <c r="G12">
        <f t="shared" si="1"/>
        <v>2</v>
      </c>
      <c r="H12" t="str">
        <f t="shared" ref="H12:H14" si="2">_xlfn.CONCAT(E12,",",F12,",",G12)</f>
        <v>2,2,2</v>
      </c>
      <c r="I12" t="str">
        <f t="shared" ref="I12:I14" si="3">$B$7 &amp; H12 &amp; $B$4</f>
        <v>INSERT INTO PhaseStrategies(Id, PhaseId, StrategyId) VALUES (2,2,2);</v>
      </c>
    </row>
    <row r="13" spans="1:9">
      <c r="B13">
        <v>3</v>
      </c>
      <c r="C13">
        <v>3</v>
      </c>
      <c r="D13" s="3">
        <v>3</v>
      </c>
      <c r="E13">
        <f t="shared" si="1"/>
        <v>3</v>
      </c>
      <c r="F13">
        <f t="shared" si="1"/>
        <v>3</v>
      </c>
      <c r="G13">
        <f t="shared" si="1"/>
        <v>3</v>
      </c>
      <c r="H13" t="str">
        <f t="shared" si="2"/>
        <v>3,3,3</v>
      </c>
      <c r="I13" t="str">
        <f t="shared" si="3"/>
        <v>INSERT INTO PhaseStrategies(Id, PhaseId, StrategyId) VALUES (3,3,3);</v>
      </c>
    </row>
    <row r="14" spans="1:9">
      <c r="B14">
        <v>4</v>
      </c>
      <c r="C14">
        <v>4</v>
      </c>
      <c r="D14" s="3">
        <v>4</v>
      </c>
      <c r="E14">
        <f t="shared" si="1"/>
        <v>4</v>
      </c>
      <c r="F14">
        <f t="shared" si="1"/>
        <v>4</v>
      </c>
      <c r="G14">
        <f t="shared" si="1"/>
        <v>4</v>
      </c>
      <c r="H14" t="str">
        <f t="shared" si="2"/>
        <v>4,4,4</v>
      </c>
      <c r="I14" t="str">
        <f t="shared" si="3"/>
        <v>INSERT INTO PhaseStrategies(Id, PhaseId, StrategyId) VALUES (4,4,4);</v>
      </c>
    </row>
    <row r="15" spans="1:9">
      <c r="I15" s="6" t="str">
        <f>"ALTER TABLE " &amp; $B$1 &amp; " WITH CHECK CHECK CONSTRAINT ALL"</f>
        <v>ALTER TABLE PhaseStrategies WITH CHECK CHECK CONSTRAINT ALL</v>
      </c>
    </row>
    <row r="16" spans="1:9">
      <c r="I16" t="str">
        <f>"SET IDENTITY_INSERT " &amp; $B$1 &amp; " OFF;"</f>
        <v>SET IDENTITY_INSERT PhaseStrategies OFF;</v>
      </c>
    </row>
  </sheetData>
  <mergeCells count="1">
    <mergeCell ref="B9:C9"/>
  </mergeCells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1"/>
  <sheetViews>
    <sheetView workbookViewId="0">
      <selection activeCell="B5" sqref="B5:C5"/>
    </sheetView>
  </sheetViews>
  <sheetFormatPr defaultRowHeight="15"/>
  <cols>
    <col min="1" max="1" width="16" bestFit="1" customWidth="1"/>
    <col min="2" max="2" width="53.140625" bestFit="1" customWidth="1"/>
    <col min="3" max="3" width="23.7109375" bestFit="1" customWidth="1"/>
    <col min="4" max="6" width="21" bestFit="1" customWidth="1"/>
    <col min="7" max="7" width="66.5703125" bestFit="1" customWidth="1"/>
  </cols>
  <sheetData>
    <row r="1" spans="1:7">
      <c r="A1" s="1" t="s">
        <v>33</v>
      </c>
      <c r="B1" s="3" t="s">
        <v>17</v>
      </c>
    </row>
    <row r="2" spans="1:7">
      <c r="A2" s="1" t="s">
        <v>32</v>
      </c>
      <c r="B2" t="str">
        <f>"INSERT INTO " &amp; B1 &amp; "("</f>
        <v>INSERT INTO Channels(</v>
      </c>
    </row>
    <row r="3" spans="1:7">
      <c r="A3" s="1" t="s">
        <v>35</v>
      </c>
      <c r="B3" t="str">
        <f>") VALUES ("</f>
        <v>) VALUES (</v>
      </c>
    </row>
    <row r="4" spans="1:7">
      <c r="A4" s="1" t="s">
        <v>31</v>
      </c>
      <c r="B4" t="str">
        <f>");"</f>
        <v>);</v>
      </c>
    </row>
    <row r="5" spans="1:7">
      <c r="A5" s="1" t="s">
        <v>30</v>
      </c>
      <c r="B5" t="str">
        <f t="shared" ref="B5:C5" si="0">B10</f>
        <v>Id</v>
      </c>
      <c r="C5" s="3" t="str">
        <f t="shared" si="0"/>
        <v>Name</v>
      </c>
    </row>
    <row r="6" spans="1:7">
      <c r="A6" s="1" t="s">
        <v>34</v>
      </c>
      <c r="B6" t="str">
        <f>B5</f>
        <v>Id</v>
      </c>
      <c r="C6" t="str">
        <f>B6 &amp; ", " &amp; C5</f>
        <v>Id, Name</v>
      </c>
    </row>
    <row r="7" spans="1:7">
      <c r="A7" s="1" t="s">
        <v>38</v>
      </c>
      <c r="B7" t="str">
        <f>B2 &amp; C6 &amp; B3</f>
        <v>INSERT INTO Channels(Id, Name) VALUES (</v>
      </c>
    </row>
    <row r="8" spans="1:7">
      <c r="G8" s="6" t="str">
        <f>"ALTER TABLE " &amp; $B$1 &amp; " NOCHECK CONSTRAINT ALL"</f>
        <v>ALTER TABLE Channels NOCHECK CONSTRAINT ALL</v>
      </c>
    </row>
    <row r="9" spans="1:7">
      <c r="B9" s="10" t="s">
        <v>37</v>
      </c>
      <c r="C9" s="10"/>
      <c r="G9" t="str">
        <f>"DELETE FROM " &amp; $B$1 &amp; ";"</f>
        <v>DELETE FROM Channels;</v>
      </c>
    </row>
    <row r="10" spans="1:7">
      <c r="B10" s="1" t="s">
        <v>192</v>
      </c>
      <c r="C10" s="1" t="s">
        <v>193</v>
      </c>
      <c r="G10" t="str">
        <f>"SET IDENTITY_INSERT " &amp; $B$1 &amp; " ON;"</f>
        <v>SET IDENTITY_INSERT Channels ON;</v>
      </c>
    </row>
    <row r="11" spans="1:7">
      <c r="B11">
        <v>1</v>
      </c>
      <c r="C11" t="s">
        <v>27</v>
      </c>
      <c r="D11" s="3">
        <f>B11</f>
        <v>1</v>
      </c>
      <c r="E11" t="str">
        <f>"'" &amp; C11 &amp; "'"</f>
        <v>'Programmatic'</v>
      </c>
      <c r="F11" t="str">
        <f>D11 &amp; "," &amp; E11</f>
        <v>1,'Programmatic'</v>
      </c>
      <c r="G11" t="str">
        <f t="shared" ref="G11:G29" si="1">$B$7 &amp; F11 &amp; $B$4</f>
        <v>INSERT INTO Channels(Id, Name) VALUES (1,'Programmatic');</v>
      </c>
    </row>
    <row r="12" spans="1:7">
      <c r="B12">
        <v>2</v>
      </c>
      <c r="C12" t="s">
        <v>0</v>
      </c>
      <c r="D12" s="3">
        <f t="shared" ref="D12:D29" si="2">B12</f>
        <v>2</v>
      </c>
      <c r="E12" t="str">
        <f t="shared" ref="E12:E29" si="3">"'" &amp; C12 &amp; "'"</f>
        <v>'YouTube'</v>
      </c>
      <c r="F12" t="str">
        <f t="shared" ref="F12:F29" si="4">D12 &amp; "," &amp; E12</f>
        <v>2,'YouTube'</v>
      </c>
      <c r="G12" t="str">
        <f t="shared" si="1"/>
        <v>INSERT INTO Channels(Id, Name) VALUES (2,'YouTube');</v>
      </c>
    </row>
    <row r="13" spans="1:7">
      <c r="B13">
        <v>3</v>
      </c>
      <c r="C13" t="s">
        <v>1</v>
      </c>
      <c r="D13" s="3">
        <f t="shared" si="2"/>
        <v>3</v>
      </c>
      <c r="E13" t="str">
        <f t="shared" si="3"/>
        <v>'Facebook / Instagram'</v>
      </c>
      <c r="F13" t="str">
        <f t="shared" si="4"/>
        <v>3,'Facebook / Instagram'</v>
      </c>
      <c r="G13" t="str">
        <f t="shared" si="1"/>
        <v>INSERT INTO Channels(Id, Name) VALUES (3,'Facebook / Instagram');</v>
      </c>
    </row>
    <row r="14" spans="1:7">
      <c r="B14">
        <v>4</v>
      </c>
      <c r="C14" t="s">
        <v>2</v>
      </c>
      <c r="D14" s="3">
        <f t="shared" si="2"/>
        <v>4</v>
      </c>
      <c r="E14" t="str">
        <f t="shared" si="3"/>
        <v>'Instagram'</v>
      </c>
      <c r="F14" t="str">
        <f t="shared" si="4"/>
        <v>4,'Instagram'</v>
      </c>
      <c r="G14" t="str">
        <f t="shared" si="1"/>
        <v>INSERT INTO Channels(Id, Name) VALUES (4,'Instagram');</v>
      </c>
    </row>
    <row r="15" spans="1:7">
      <c r="B15">
        <v>5</v>
      </c>
      <c r="C15" t="s">
        <v>3</v>
      </c>
      <c r="D15" s="3">
        <f t="shared" si="2"/>
        <v>5</v>
      </c>
      <c r="E15" t="str">
        <f t="shared" si="3"/>
        <v>'Twitter'</v>
      </c>
      <c r="F15" t="str">
        <f t="shared" si="4"/>
        <v>5,'Twitter'</v>
      </c>
      <c r="G15" t="str">
        <f t="shared" si="1"/>
        <v>INSERT INTO Channels(Id, Name) VALUES (5,'Twitter');</v>
      </c>
    </row>
    <row r="16" spans="1:7">
      <c r="B16">
        <v>6</v>
      </c>
      <c r="C16" t="s">
        <v>4</v>
      </c>
      <c r="D16" s="3">
        <f t="shared" si="2"/>
        <v>6</v>
      </c>
      <c r="E16" t="str">
        <f t="shared" si="3"/>
        <v>'VK'</v>
      </c>
      <c r="F16" t="str">
        <f t="shared" si="4"/>
        <v>6,'VK'</v>
      </c>
      <c r="G16" t="str">
        <f t="shared" si="1"/>
        <v>INSERT INTO Channels(Id, Name) VALUES (6,'VK');</v>
      </c>
    </row>
    <row r="17" spans="2:7">
      <c r="B17">
        <v>7</v>
      </c>
      <c r="C17" t="s">
        <v>5</v>
      </c>
      <c r="D17" s="3">
        <f t="shared" si="2"/>
        <v>7</v>
      </c>
      <c r="E17" t="str">
        <f t="shared" si="3"/>
        <v>'Reddit'</v>
      </c>
      <c r="F17" t="str">
        <f t="shared" si="4"/>
        <v>7,'Reddit'</v>
      </c>
      <c r="G17" t="str">
        <f t="shared" si="1"/>
        <v>INSERT INTO Channels(Id, Name) VALUES (7,'Reddit');</v>
      </c>
    </row>
    <row r="18" spans="2:7">
      <c r="B18">
        <v>8</v>
      </c>
      <c r="C18" t="s">
        <v>6</v>
      </c>
      <c r="D18" s="3">
        <f t="shared" si="2"/>
        <v>8</v>
      </c>
      <c r="E18" t="str">
        <f t="shared" si="3"/>
        <v>'Outbrain'</v>
      </c>
      <c r="F18" t="str">
        <f t="shared" si="4"/>
        <v>8,'Outbrain'</v>
      </c>
      <c r="G18" t="str">
        <f t="shared" si="1"/>
        <v>INSERT INTO Channels(Id, Name) VALUES (8,'Outbrain');</v>
      </c>
    </row>
    <row r="19" spans="2:7">
      <c r="B19">
        <v>9</v>
      </c>
      <c r="C19" t="s">
        <v>7</v>
      </c>
      <c r="D19" s="3">
        <f t="shared" si="2"/>
        <v>9</v>
      </c>
      <c r="E19" t="str">
        <f t="shared" si="3"/>
        <v>'DV360'</v>
      </c>
      <c r="F19" t="str">
        <f t="shared" si="4"/>
        <v>9,'DV360'</v>
      </c>
      <c r="G19" t="str">
        <f t="shared" si="1"/>
        <v>INSERT INTO Channels(Id, Name) VALUES (9,'DV360');</v>
      </c>
    </row>
    <row r="20" spans="2:7">
      <c r="B20">
        <v>10</v>
      </c>
      <c r="C20" t="s">
        <v>28</v>
      </c>
      <c r="D20" s="3">
        <f t="shared" si="2"/>
        <v>10</v>
      </c>
      <c r="E20" t="str">
        <f t="shared" si="3"/>
        <v>'TubeMogul'</v>
      </c>
      <c r="F20" t="str">
        <f t="shared" si="4"/>
        <v>10,'TubeMogul'</v>
      </c>
      <c r="G20" t="str">
        <f t="shared" si="1"/>
        <v>INSERT INTO Channels(Id, Name) VALUES (10,'TubeMogul');</v>
      </c>
    </row>
    <row r="21" spans="2:7">
      <c r="B21">
        <v>11</v>
      </c>
      <c r="C21" t="s">
        <v>8</v>
      </c>
      <c r="D21" s="3">
        <f t="shared" si="2"/>
        <v>11</v>
      </c>
      <c r="E21" t="str">
        <f t="shared" si="3"/>
        <v>'GDN / YouTube'</v>
      </c>
      <c r="F21" t="str">
        <f t="shared" si="4"/>
        <v>11,'GDN / YouTube'</v>
      </c>
      <c r="G21" t="str">
        <f t="shared" si="1"/>
        <v>INSERT INTO Channels(Id, Name) VALUES (11,'GDN / YouTube');</v>
      </c>
    </row>
    <row r="22" spans="2:7">
      <c r="B22">
        <v>12</v>
      </c>
      <c r="C22" t="s">
        <v>9</v>
      </c>
      <c r="D22" s="3">
        <f t="shared" si="2"/>
        <v>12</v>
      </c>
      <c r="E22" t="str">
        <f t="shared" si="3"/>
        <v>'GDN'</v>
      </c>
      <c r="F22" t="str">
        <f t="shared" si="4"/>
        <v>12,'GDN'</v>
      </c>
      <c r="G22" t="str">
        <f t="shared" si="1"/>
        <v>INSERT INTO Channels(Id, Name) VALUES (12,'GDN');</v>
      </c>
    </row>
    <row r="23" spans="2:7">
      <c r="B23">
        <v>13</v>
      </c>
      <c r="C23" t="s">
        <v>10</v>
      </c>
      <c r="D23" s="3">
        <f t="shared" si="2"/>
        <v>13</v>
      </c>
      <c r="E23" t="str">
        <f t="shared" si="3"/>
        <v>'Yandex'</v>
      </c>
      <c r="F23" t="str">
        <f t="shared" si="4"/>
        <v>13,'Yandex'</v>
      </c>
      <c r="G23" t="str">
        <f t="shared" si="1"/>
        <v>INSERT INTO Channels(Id, Name) VALUES (13,'Yandex');</v>
      </c>
    </row>
    <row r="24" spans="2:7">
      <c r="B24">
        <v>14</v>
      </c>
      <c r="C24" t="s">
        <v>11</v>
      </c>
      <c r="D24" s="3">
        <f t="shared" si="2"/>
        <v>14</v>
      </c>
      <c r="E24" t="str">
        <f t="shared" si="3"/>
        <v>'Quora'</v>
      </c>
      <c r="F24" t="str">
        <f t="shared" si="4"/>
        <v>14,'Quora'</v>
      </c>
      <c r="G24" t="str">
        <f t="shared" si="1"/>
        <v>INSERT INTO Channels(Id, Name) VALUES (14,'Quora');</v>
      </c>
    </row>
    <row r="25" spans="2:7">
      <c r="B25">
        <v>15</v>
      </c>
      <c r="C25" t="s">
        <v>12</v>
      </c>
      <c r="D25" s="3">
        <f t="shared" si="2"/>
        <v>15</v>
      </c>
      <c r="E25" t="str">
        <f t="shared" si="3"/>
        <v>'Spotify'</v>
      </c>
      <c r="F25" t="str">
        <f t="shared" si="4"/>
        <v>15,'Spotify'</v>
      </c>
      <c r="G25" t="str">
        <f t="shared" si="1"/>
        <v>INSERT INTO Channels(Id, Name) VALUES (15,'Spotify');</v>
      </c>
    </row>
    <row r="26" spans="2:7">
      <c r="B26">
        <v>16</v>
      </c>
      <c r="C26" t="s">
        <v>13</v>
      </c>
      <c r="D26" s="3">
        <f t="shared" si="2"/>
        <v>16</v>
      </c>
      <c r="E26" t="str">
        <f t="shared" si="3"/>
        <v>'Tik Tok'</v>
      </c>
      <c r="F26" t="str">
        <f t="shared" si="4"/>
        <v>16,'Tik Tok'</v>
      </c>
      <c r="G26" t="str">
        <f t="shared" si="1"/>
        <v>INSERT INTO Channels(Id, Name) VALUES (16,'Tik Tok');</v>
      </c>
    </row>
    <row r="27" spans="2:7">
      <c r="B27">
        <v>17</v>
      </c>
      <c r="C27" t="s">
        <v>14</v>
      </c>
      <c r="D27" s="3">
        <f t="shared" si="2"/>
        <v>17</v>
      </c>
      <c r="E27" t="str">
        <f t="shared" si="3"/>
        <v>'Google search ads'</v>
      </c>
      <c r="F27" t="str">
        <f t="shared" si="4"/>
        <v>17,'Google search ads'</v>
      </c>
      <c r="G27" t="str">
        <f t="shared" si="1"/>
        <v>INSERT INTO Channels(Id, Name) VALUES (17,'Google search ads');</v>
      </c>
    </row>
    <row r="28" spans="2:7">
      <c r="B28">
        <v>18</v>
      </c>
      <c r="C28" t="s">
        <v>15</v>
      </c>
      <c r="D28" s="3">
        <f t="shared" si="2"/>
        <v>18</v>
      </c>
      <c r="E28" t="str">
        <f t="shared" si="3"/>
        <v>'Bing search ads'</v>
      </c>
      <c r="F28" t="str">
        <f t="shared" si="4"/>
        <v>18,'Bing search ads'</v>
      </c>
      <c r="G28" t="str">
        <f t="shared" si="1"/>
        <v>INSERT INTO Channels(Id, Name) VALUES (18,'Bing search ads');</v>
      </c>
    </row>
    <row r="29" spans="2:7">
      <c r="B29">
        <v>19</v>
      </c>
      <c r="C29" t="s">
        <v>16</v>
      </c>
      <c r="D29" s="3">
        <f t="shared" si="2"/>
        <v>19</v>
      </c>
      <c r="E29" t="str">
        <f t="shared" si="3"/>
        <v>'Google Gmail'</v>
      </c>
      <c r="F29" t="str">
        <f t="shared" si="4"/>
        <v>19,'Google Gmail'</v>
      </c>
      <c r="G29" t="str">
        <f t="shared" si="1"/>
        <v>INSERT INTO Channels(Id, Name) VALUES (19,'Google Gmail');</v>
      </c>
    </row>
    <row r="30" spans="2:7">
      <c r="G30" s="6" t="str">
        <f>"ALTER TABLE " &amp; $B$1 &amp; " WITH CHECK CHECK CONSTRAINT ALL"</f>
        <v>ALTER TABLE Channels WITH CHECK CHECK CONSTRAINT ALL</v>
      </c>
    </row>
    <row r="31" spans="2:7">
      <c r="G31" t="str">
        <f>"SET IDENTITY_INSERT " &amp; $B$1 &amp; " OFF;"</f>
        <v>SET IDENTITY_INSERT Channels OFF;</v>
      </c>
    </row>
  </sheetData>
  <mergeCells count="1">
    <mergeCell ref="B9:C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004CC-4860-4226-AB9E-F68A5A9D04B1}">
  <dimension ref="A1:I16"/>
  <sheetViews>
    <sheetView workbookViewId="0">
      <selection activeCell="B5" sqref="B5:D5"/>
    </sheetView>
  </sheetViews>
  <sheetFormatPr defaultRowHeight="15"/>
  <cols>
    <col min="1" max="1" width="11.5703125" bestFit="1" customWidth="1"/>
    <col min="2" max="2" width="54.85546875" bestFit="1" customWidth="1"/>
    <col min="3" max="3" width="18.28515625" bestFit="1" customWidth="1"/>
    <col min="4" max="6" width="18.28515625" customWidth="1"/>
    <col min="9" max="9" width="61" bestFit="1" customWidth="1"/>
    <col min="10" max="10" width="64.5703125" bestFit="1" customWidth="1"/>
  </cols>
  <sheetData>
    <row r="1" spans="1:9">
      <c r="A1" s="1" t="s">
        <v>33</v>
      </c>
      <c r="B1" s="3" t="s">
        <v>168</v>
      </c>
    </row>
    <row r="2" spans="1:9">
      <c r="A2" s="1" t="s">
        <v>32</v>
      </c>
      <c r="B2" t="str">
        <f>"INSERT INTO " &amp; B1 &amp; "("</f>
        <v>INSERT INTO PSChannels(</v>
      </c>
    </row>
    <row r="3" spans="1:9">
      <c r="A3" s="1" t="s">
        <v>35</v>
      </c>
      <c r="B3" t="str">
        <f>") VALUES ("</f>
        <v>) VALUES (</v>
      </c>
    </row>
    <row r="4" spans="1:9">
      <c r="A4" s="1" t="s">
        <v>31</v>
      </c>
      <c r="B4" t="str">
        <f>");"</f>
        <v>);</v>
      </c>
    </row>
    <row r="5" spans="1:9">
      <c r="A5" s="1" t="s">
        <v>30</v>
      </c>
      <c r="B5" s="1" t="str">
        <f t="shared" ref="B5:D5" si="0">B10</f>
        <v>Id</v>
      </c>
      <c r="C5" s="1" t="str">
        <f t="shared" si="0"/>
        <v>PhaseStrategyId</v>
      </c>
      <c r="D5" s="1" t="str">
        <f t="shared" si="0"/>
        <v>ChannelId</v>
      </c>
    </row>
    <row r="6" spans="1:9">
      <c r="A6" s="1" t="s">
        <v>34</v>
      </c>
      <c r="B6" t="str">
        <f>B5</f>
        <v>Id</v>
      </c>
      <c r="C6" t="str">
        <f>B6 &amp; ", " &amp; C5</f>
        <v>Id, PhaseStrategyId</v>
      </c>
      <c r="D6" t="str">
        <f>C6 &amp; ", " &amp; D5</f>
        <v>Id, PhaseStrategyId, ChannelId</v>
      </c>
    </row>
    <row r="7" spans="1:9">
      <c r="A7" s="1" t="s">
        <v>38</v>
      </c>
      <c r="B7" t="str">
        <f>B2 &amp; D6 &amp; B3</f>
        <v>INSERT INTO PSChannels(Id, PhaseStrategyId, ChannelId) VALUES (</v>
      </c>
    </row>
    <row r="8" spans="1:9">
      <c r="I8" s="6" t="str">
        <f>"ALTER TABLE " &amp; $B$1 &amp; " NOCHECK CONSTRAINT ALL"</f>
        <v>ALTER TABLE PSChannels NOCHECK CONSTRAINT ALL</v>
      </c>
    </row>
    <row r="9" spans="1:9">
      <c r="B9" s="10" t="s">
        <v>37</v>
      </c>
      <c r="C9" s="10"/>
      <c r="D9" s="9"/>
      <c r="E9" s="9"/>
      <c r="F9" s="9"/>
      <c r="I9" t="str">
        <f>"DELETE FROM " &amp; $B$1 &amp; ";"</f>
        <v>DELETE FROM PSChannels;</v>
      </c>
    </row>
    <row r="10" spans="1:9">
      <c r="B10" s="1" t="s">
        <v>192</v>
      </c>
      <c r="C10" s="1" t="s">
        <v>170</v>
      </c>
      <c r="D10" s="1" t="s">
        <v>147</v>
      </c>
      <c r="E10" s="1"/>
      <c r="F10" s="1"/>
      <c r="I10" t="str">
        <f>"SET IDENTITY_INSERT " &amp; $B$1 &amp; " ON;"</f>
        <v>SET IDENTITY_INSERT PSChannels ON;</v>
      </c>
    </row>
    <row r="11" spans="1:9">
      <c r="B11">
        <v>1</v>
      </c>
      <c r="C11" s="3">
        <v>1</v>
      </c>
      <c r="D11" s="3">
        <v>1</v>
      </c>
      <c r="E11">
        <f t="shared" ref="E11:G14" si="1">B11</f>
        <v>1</v>
      </c>
      <c r="F11">
        <f t="shared" si="1"/>
        <v>1</v>
      </c>
      <c r="G11">
        <f t="shared" si="1"/>
        <v>1</v>
      </c>
      <c r="H11" t="str">
        <f>_xlfn.CONCAT(E11,",",F11,",",G11)</f>
        <v>1,1,1</v>
      </c>
      <c r="I11" t="str">
        <f>$B$7 &amp; H11 &amp; $B$4</f>
        <v>INSERT INTO PSChannels(Id, PhaseStrategyId, ChannelId) VALUES (1,1,1);</v>
      </c>
    </row>
    <row r="12" spans="1:9">
      <c r="B12">
        <v>2</v>
      </c>
      <c r="C12" s="3">
        <v>2</v>
      </c>
      <c r="D12" s="3">
        <v>2</v>
      </c>
      <c r="E12">
        <f t="shared" si="1"/>
        <v>2</v>
      </c>
      <c r="F12">
        <f t="shared" si="1"/>
        <v>2</v>
      </c>
      <c r="G12">
        <f t="shared" si="1"/>
        <v>2</v>
      </c>
      <c r="H12" t="str">
        <f t="shared" ref="H12:H14" si="2">_xlfn.CONCAT(E12,",",F12,",",G12)</f>
        <v>2,2,2</v>
      </c>
      <c r="I12" t="str">
        <f>$B$7 &amp; H12 &amp; $B$4</f>
        <v>INSERT INTO PSChannels(Id, PhaseStrategyId, ChannelId) VALUES (2,2,2);</v>
      </c>
    </row>
    <row r="13" spans="1:9">
      <c r="B13">
        <v>3</v>
      </c>
      <c r="C13" s="3">
        <v>3</v>
      </c>
      <c r="D13" s="3">
        <v>3</v>
      </c>
      <c r="E13">
        <f t="shared" si="1"/>
        <v>3</v>
      </c>
      <c r="F13">
        <f t="shared" si="1"/>
        <v>3</v>
      </c>
      <c r="G13">
        <f t="shared" si="1"/>
        <v>3</v>
      </c>
      <c r="H13" t="str">
        <f t="shared" si="2"/>
        <v>3,3,3</v>
      </c>
      <c r="I13" t="str">
        <f>$B$7 &amp; H13 &amp; $B$4</f>
        <v>INSERT INTO PSChannels(Id, PhaseStrategyId, ChannelId) VALUES (3,3,3);</v>
      </c>
    </row>
    <row r="14" spans="1:9">
      <c r="B14">
        <v>4</v>
      </c>
      <c r="C14" s="3">
        <v>4</v>
      </c>
      <c r="D14" s="3">
        <v>4</v>
      </c>
      <c r="E14">
        <f t="shared" si="1"/>
        <v>4</v>
      </c>
      <c r="F14">
        <f t="shared" si="1"/>
        <v>4</v>
      </c>
      <c r="G14">
        <f t="shared" si="1"/>
        <v>4</v>
      </c>
      <c r="H14" t="str">
        <f t="shared" si="2"/>
        <v>4,4,4</v>
      </c>
      <c r="I14" t="str">
        <f>$B$7 &amp; H14 &amp; $B$4</f>
        <v>INSERT INTO PSChannels(Id, PhaseStrategyId, ChannelId) VALUES (4,4,4);</v>
      </c>
    </row>
    <row r="15" spans="1:9">
      <c r="I15" s="6" t="str">
        <f>"ALTER TABLE " &amp; $B$1 &amp; " WITH CHECK CHECK CONSTRAINT ALL"</f>
        <v>ALTER TABLE PSChannels WITH CHECK CHECK CONSTRAINT ALL</v>
      </c>
    </row>
    <row r="16" spans="1:9">
      <c r="I16" t="str">
        <f>"SET IDENTITY_INSERT " &amp; $B$1 &amp; " OFF;"</f>
        <v>SET IDENTITY_INSERT PSChannels OFF;</v>
      </c>
    </row>
  </sheetData>
  <mergeCells count="1">
    <mergeCell ref="B9:C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"/>
  <sheetViews>
    <sheetView workbookViewId="0">
      <selection activeCell="C5" sqref="C5"/>
    </sheetView>
  </sheetViews>
  <sheetFormatPr defaultRowHeight="15"/>
  <cols>
    <col min="1" max="1" width="16" bestFit="1" customWidth="1"/>
    <col min="2" max="2" width="59" bestFit="1" customWidth="1"/>
    <col min="3" max="3" width="28.140625" bestFit="1" customWidth="1"/>
    <col min="5" max="5" width="13.5703125" bestFit="1" customWidth="1"/>
    <col min="6" max="6" width="17.5703125" bestFit="1" customWidth="1"/>
    <col min="7" max="7" width="16.5703125" customWidth="1"/>
    <col min="8" max="8" width="19.140625" bestFit="1" customWidth="1"/>
    <col min="9" max="9" width="85.42578125" bestFit="1" customWidth="1"/>
  </cols>
  <sheetData>
    <row r="1" spans="1:9">
      <c r="A1" s="1" t="s">
        <v>33</v>
      </c>
      <c r="B1" s="3" t="s">
        <v>18</v>
      </c>
    </row>
    <row r="2" spans="1:9">
      <c r="A2" s="1" t="s">
        <v>32</v>
      </c>
      <c r="B2" t="str">
        <f>"INSERT INTO " &amp; B1 &amp; "("</f>
        <v>INSERT INTO Countries(</v>
      </c>
    </row>
    <row r="3" spans="1:9">
      <c r="A3" s="1" t="s">
        <v>35</v>
      </c>
      <c r="B3" t="str">
        <f>") VALUES ("</f>
        <v>) VALUES (</v>
      </c>
    </row>
    <row r="4" spans="1:9">
      <c r="A4" s="1" t="s">
        <v>31</v>
      </c>
      <c r="B4" t="str">
        <f>");"</f>
        <v>);</v>
      </c>
    </row>
    <row r="5" spans="1:9">
      <c r="A5" s="1" t="s">
        <v>30</v>
      </c>
      <c r="B5" t="str">
        <f t="shared" ref="B5:D5" si="0">B10</f>
        <v>Id</v>
      </c>
      <c r="C5" s="3" t="str">
        <f t="shared" si="0"/>
        <v>Code</v>
      </c>
      <c r="D5" s="3" t="str">
        <f t="shared" si="0"/>
        <v>Name</v>
      </c>
    </row>
    <row r="6" spans="1:9">
      <c r="A6" s="1" t="s">
        <v>34</v>
      </c>
      <c r="B6" t="str">
        <f>B5</f>
        <v>Id</v>
      </c>
      <c r="C6" t="str">
        <f>B6 &amp; ", " &amp; C5</f>
        <v>Id, Code</v>
      </c>
      <c r="D6" t="str">
        <f>C6 &amp; ", " &amp; D5</f>
        <v>Id, Code, Name</v>
      </c>
    </row>
    <row r="7" spans="1:9">
      <c r="A7" s="1" t="s">
        <v>38</v>
      </c>
      <c r="B7" t="str">
        <f>B2 &amp; D6 &amp; B3</f>
        <v>INSERT INTO Countries(Id, Code, Name) VALUES (</v>
      </c>
    </row>
    <row r="8" spans="1:9">
      <c r="I8" s="6" t="str">
        <f>"ALTER TABLE " &amp; $B$1 &amp; " NOCHECK CONSTRAINT ALL"</f>
        <v>ALTER TABLE Countries NOCHECK CONSTRAINT ALL</v>
      </c>
    </row>
    <row r="9" spans="1:9">
      <c r="B9" s="10" t="s">
        <v>37</v>
      </c>
      <c r="C9" s="10"/>
      <c r="I9" t="str">
        <f>"DELETE FROM " &amp; $B$1 &amp; ";"</f>
        <v>DELETE FROM Countries;</v>
      </c>
    </row>
    <row r="10" spans="1:9">
      <c r="B10" s="1" t="s">
        <v>192</v>
      </c>
      <c r="C10" s="1" t="s">
        <v>196</v>
      </c>
      <c r="D10" s="1" t="s">
        <v>193</v>
      </c>
      <c r="I10" t="str">
        <f>"SET IDENTITY_INSERT " &amp; $B$1 &amp; " ON;"</f>
        <v>SET IDENTITY_INSERT Countries ON;</v>
      </c>
    </row>
    <row r="11" spans="1:9">
      <c r="B11">
        <v>1</v>
      </c>
      <c r="C11" t="s">
        <v>19</v>
      </c>
      <c r="D11" t="s">
        <v>20</v>
      </c>
      <c r="E11">
        <f>B11</f>
        <v>1</v>
      </c>
      <c r="F11" t="str">
        <f t="shared" ref="F11:G14" si="1">"'" &amp; C11 &amp; "'"</f>
        <v>'AU'</v>
      </c>
      <c r="G11" t="str">
        <f t="shared" si="1"/>
        <v>'Austria'</v>
      </c>
      <c r="H11" t="str">
        <f>E11 &amp; "," &amp;  F11 &amp; "," &amp; G11</f>
        <v>1,'AU','Austria'</v>
      </c>
      <c r="I11" t="str">
        <f>$B$7 &amp; H11 &amp; $B$4</f>
        <v>INSERT INTO Countries(Id, Code, Name) VALUES (1,'AU','Austria');</v>
      </c>
    </row>
    <row r="12" spans="1:9">
      <c r="B12">
        <v>2</v>
      </c>
      <c r="C12" t="s">
        <v>21</v>
      </c>
      <c r="D12" t="s">
        <v>22</v>
      </c>
      <c r="E12">
        <f t="shared" ref="E12:E14" si="2">B12</f>
        <v>2</v>
      </c>
      <c r="F12" t="str">
        <f t="shared" si="1"/>
        <v>'NZ'</v>
      </c>
      <c r="G12" t="str">
        <f t="shared" si="1"/>
        <v>'New Zealand'</v>
      </c>
      <c r="H12" t="str">
        <f t="shared" ref="H12:H14" si="3">E12 &amp; "," &amp;  F12 &amp; "," &amp; G12</f>
        <v>2,'NZ','New Zealand'</v>
      </c>
      <c r="I12" t="str">
        <f>$B$7 &amp; H12 &amp; $B$4</f>
        <v>INSERT INTO Countries(Id, Code, Name) VALUES (2,'NZ','New Zealand');</v>
      </c>
    </row>
    <row r="13" spans="1:9">
      <c r="B13">
        <v>3</v>
      </c>
      <c r="C13" t="s">
        <v>23</v>
      </c>
      <c r="D13" t="s">
        <v>24</v>
      </c>
      <c r="E13">
        <f t="shared" si="2"/>
        <v>3</v>
      </c>
      <c r="F13" t="str">
        <f t="shared" si="1"/>
        <v>'IT'</v>
      </c>
      <c r="G13" t="str">
        <f t="shared" si="1"/>
        <v>'Italy'</v>
      </c>
      <c r="H13" t="str">
        <f t="shared" si="3"/>
        <v>3,'IT','Italy'</v>
      </c>
      <c r="I13" t="str">
        <f>$B$7 &amp; H13 &amp; $B$4</f>
        <v>INSERT INTO Countries(Id, Code, Name) VALUES (3,'IT','Italy');</v>
      </c>
    </row>
    <row r="14" spans="1:9">
      <c r="B14">
        <v>4</v>
      </c>
      <c r="C14" t="s">
        <v>25</v>
      </c>
      <c r="D14" t="s">
        <v>26</v>
      </c>
      <c r="E14">
        <f t="shared" si="2"/>
        <v>4</v>
      </c>
      <c r="F14" t="str">
        <f t="shared" si="1"/>
        <v>'RU'</v>
      </c>
      <c r="G14" t="str">
        <f t="shared" si="1"/>
        <v>'Russia'</v>
      </c>
      <c r="H14" t="str">
        <f t="shared" si="3"/>
        <v>4,'RU','Russia'</v>
      </c>
      <c r="I14" t="str">
        <f>$B$7 &amp; H14 &amp; $B$4</f>
        <v>INSERT INTO Countries(Id, Code, Name) VALUES (4,'RU','Russia');</v>
      </c>
    </row>
    <row r="15" spans="1:9">
      <c r="I15" s="6" t="str">
        <f>"ALTER TABLE " &amp; $B$1 &amp; " WITH CHECK CHECK CONSTRAINT ALL"</f>
        <v>ALTER TABLE Countries WITH CHECK CHECK CONSTRAINT ALL</v>
      </c>
    </row>
    <row r="16" spans="1:9">
      <c r="I16" t="str">
        <f>"SET IDENTITY_INSERT " &amp; $B$1 &amp; " OFF;"</f>
        <v>SET IDENTITY_INSERT Countries OFF;</v>
      </c>
    </row>
  </sheetData>
  <mergeCells count="1">
    <mergeCell ref="B9:C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80C3D-1C5B-4467-BCD2-A0D7EF76658A}">
  <dimension ref="A1:I16"/>
  <sheetViews>
    <sheetView workbookViewId="0">
      <selection activeCell="B10" sqref="B10"/>
    </sheetView>
  </sheetViews>
  <sheetFormatPr defaultRowHeight="15"/>
  <cols>
    <col min="1" max="1" width="11.5703125" bestFit="1" customWidth="1"/>
    <col min="2" max="2" width="54.85546875" bestFit="1" customWidth="1"/>
    <col min="3" max="3" width="18.28515625" bestFit="1" customWidth="1"/>
    <col min="4" max="6" width="18.28515625" customWidth="1"/>
    <col min="9" max="9" width="61" bestFit="1" customWidth="1"/>
    <col min="10" max="10" width="64.5703125" bestFit="1" customWidth="1"/>
  </cols>
  <sheetData>
    <row r="1" spans="1:9">
      <c r="A1" s="1" t="s">
        <v>33</v>
      </c>
      <c r="B1" s="3" t="s">
        <v>172</v>
      </c>
    </row>
    <row r="2" spans="1:9">
      <c r="A2" s="1" t="s">
        <v>32</v>
      </c>
      <c r="B2" t="str">
        <f>"INSERT INTO " &amp; B1 &amp; "("</f>
        <v>INSERT INTO PSChannelCountries(</v>
      </c>
    </row>
    <row r="3" spans="1:9">
      <c r="A3" s="1" t="s">
        <v>35</v>
      </c>
      <c r="B3" t="str">
        <f>") VALUES ("</f>
        <v>) VALUES (</v>
      </c>
    </row>
    <row r="4" spans="1:9">
      <c r="A4" s="1" t="s">
        <v>31</v>
      </c>
      <c r="B4" t="str">
        <f>");"</f>
        <v>);</v>
      </c>
    </row>
    <row r="5" spans="1:9">
      <c r="A5" s="1" t="s">
        <v>30</v>
      </c>
      <c r="B5" s="1" t="str">
        <f t="shared" ref="B5:D5" si="0">B10</f>
        <v>Id</v>
      </c>
      <c r="C5" s="1" t="str">
        <f t="shared" si="0"/>
        <v>CountryId</v>
      </c>
      <c r="D5" s="1" t="str">
        <f t="shared" si="0"/>
        <v>PSChannelId</v>
      </c>
    </row>
    <row r="6" spans="1:9">
      <c r="A6" s="1" t="s">
        <v>34</v>
      </c>
      <c r="B6" t="str">
        <f>B5</f>
        <v>Id</v>
      </c>
      <c r="C6" t="str">
        <f>B6 &amp; ", " &amp; C5</f>
        <v>Id, CountryId</v>
      </c>
      <c r="D6" t="str">
        <f>C6 &amp; ", " &amp; D5</f>
        <v>Id, CountryId, PSChannelId</v>
      </c>
    </row>
    <row r="7" spans="1:9">
      <c r="A7" s="1" t="s">
        <v>38</v>
      </c>
      <c r="B7" t="str">
        <f>B2 &amp; D6 &amp; B3</f>
        <v>INSERT INTO PSChannelCountries(Id, CountryId, PSChannelId) VALUES (</v>
      </c>
    </row>
    <row r="8" spans="1:9">
      <c r="I8" s="6" t="str">
        <f>"ALTER TABLE " &amp; $B$1 &amp; " NOCHECK CONSTRAINT ALL"</f>
        <v>ALTER TABLE PSChannelCountries NOCHECK CONSTRAINT ALL</v>
      </c>
    </row>
    <row r="9" spans="1:9">
      <c r="B9" s="10" t="s">
        <v>37</v>
      </c>
      <c r="C9" s="10"/>
      <c r="D9" s="9"/>
      <c r="E9" s="9"/>
      <c r="F9" s="9"/>
      <c r="I9" t="str">
        <f>"DELETE FROM " &amp; $B$1 &amp; ";"</f>
        <v>DELETE FROM PSChannelCountries;</v>
      </c>
    </row>
    <row r="10" spans="1:9">
      <c r="B10" s="1" t="s">
        <v>192</v>
      </c>
      <c r="C10" s="1" t="s">
        <v>150</v>
      </c>
      <c r="D10" s="1" t="s">
        <v>169</v>
      </c>
      <c r="E10" s="1"/>
      <c r="F10" s="1"/>
      <c r="I10" t="str">
        <f>"SET IDENTITY_INSERT " &amp; $B$1 &amp; " ON;"</f>
        <v>SET IDENTITY_INSERT PSChannelCountries ON;</v>
      </c>
    </row>
    <row r="11" spans="1:9">
      <c r="B11">
        <v>1</v>
      </c>
      <c r="C11" s="3">
        <v>1</v>
      </c>
      <c r="D11" s="3">
        <v>1</v>
      </c>
      <c r="E11">
        <f t="shared" ref="E11:G14" si="1">B11</f>
        <v>1</v>
      </c>
      <c r="F11">
        <f t="shared" si="1"/>
        <v>1</v>
      </c>
      <c r="G11">
        <f t="shared" si="1"/>
        <v>1</v>
      </c>
      <c r="H11" t="str">
        <f>_xlfn.CONCAT(E11,",",F11,",",G11)</f>
        <v>1,1,1</v>
      </c>
      <c r="I11" t="str">
        <f>$B$7 &amp; H11 &amp; $B$4</f>
        <v>INSERT INTO PSChannelCountries(Id, CountryId, PSChannelId) VALUES (1,1,1);</v>
      </c>
    </row>
    <row r="12" spans="1:9">
      <c r="B12">
        <v>2</v>
      </c>
      <c r="C12" s="3">
        <v>2</v>
      </c>
      <c r="D12" s="3">
        <v>2</v>
      </c>
      <c r="E12">
        <f t="shared" si="1"/>
        <v>2</v>
      </c>
      <c r="F12">
        <f t="shared" si="1"/>
        <v>2</v>
      </c>
      <c r="G12">
        <f t="shared" si="1"/>
        <v>2</v>
      </c>
      <c r="H12" t="str">
        <f t="shared" ref="H12:H14" si="2">_xlfn.CONCAT(E12,",",F12,",",G12)</f>
        <v>2,2,2</v>
      </c>
      <c r="I12" t="str">
        <f>$B$7 &amp; H12 &amp; $B$4</f>
        <v>INSERT INTO PSChannelCountries(Id, CountryId, PSChannelId) VALUES (2,2,2);</v>
      </c>
    </row>
    <row r="13" spans="1:9">
      <c r="B13">
        <v>3</v>
      </c>
      <c r="C13" s="3">
        <v>3</v>
      </c>
      <c r="D13" s="3">
        <v>3</v>
      </c>
      <c r="E13">
        <f t="shared" si="1"/>
        <v>3</v>
      </c>
      <c r="F13">
        <f t="shared" si="1"/>
        <v>3</v>
      </c>
      <c r="G13">
        <f t="shared" si="1"/>
        <v>3</v>
      </c>
      <c r="H13" t="str">
        <f t="shared" si="2"/>
        <v>3,3,3</v>
      </c>
      <c r="I13" t="str">
        <f>$B$7 &amp; H13 &amp; $B$4</f>
        <v>INSERT INTO PSChannelCountries(Id, CountryId, PSChannelId) VALUES (3,3,3);</v>
      </c>
    </row>
    <row r="14" spans="1:9">
      <c r="B14">
        <v>4</v>
      </c>
      <c r="C14" s="3">
        <v>4</v>
      </c>
      <c r="D14" s="3">
        <v>4</v>
      </c>
      <c r="E14">
        <f t="shared" si="1"/>
        <v>4</v>
      </c>
      <c r="F14">
        <f t="shared" si="1"/>
        <v>4</v>
      </c>
      <c r="G14">
        <f t="shared" si="1"/>
        <v>4</v>
      </c>
      <c r="H14" t="str">
        <f t="shared" si="2"/>
        <v>4,4,4</v>
      </c>
      <c r="I14" t="str">
        <f>$B$7 &amp; H14 &amp; $B$4</f>
        <v>INSERT INTO PSChannelCountries(Id, CountryId, PSChannelId) VALUES (4,4,4);</v>
      </c>
    </row>
    <row r="15" spans="1:9">
      <c r="I15" s="6" t="str">
        <f>"ALTER TABLE " &amp; $B$1 &amp; " WITH CHECK CHECK CONSTRAINT ALL"</f>
        <v>ALTER TABLE PSChannelCountries WITH CHECK CHECK CONSTRAINT ALL</v>
      </c>
    </row>
    <row r="16" spans="1:9">
      <c r="I16" t="str">
        <f>"SET IDENTITY_INSERT " &amp; $B$1 &amp; " OFF;"</f>
        <v>SET IDENTITY_INSERT PSChannelCountries OFF;</v>
      </c>
    </row>
  </sheetData>
  <mergeCells count="1">
    <mergeCell ref="B9:C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6"/>
  <sheetViews>
    <sheetView zoomScaleNormal="100" workbookViewId="0">
      <selection activeCell="H5" sqref="H5"/>
    </sheetView>
  </sheetViews>
  <sheetFormatPr defaultRowHeight="15"/>
  <cols>
    <col min="1" max="1" width="16" bestFit="1" customWidth="1"/>
    <col min="2" max="2" width="59" bestFit="1" customWidth="1"/>
    <col min="3" max="3" width="43" bestFit="1" customWidth="1"/>
    <col min="4" max="4" width="10.5703125" customWidth="1"/>
    <col min="5" max="5" width="12.7109375" bestFit="1" customWidth="1"/>
    <col min="6" max="6" width="11.5703125" bestFit="1" customWidth="1"/>
    <col min="7" max="7" width="9.42578125" bestFit="1" customWidth="1"/>
    <col min="8" max="8" width="7.85546875" bestFit="1" customWidth="1"/>
    <col min="9" max="9" width="8.7109375" customWidth="1"/>
    <col min="10" max="11" width="7.7109375" customWidth="1"/>
    <col min="12" max="18" width="7.140625" customWidth="1"/>
    <col min="19" max="19" width="17.5703125" bestFit="1" customWidth="1"/>
    <col min="20" max="20" width="12" customWidth="1"/>
    <col min="21" max="21" width="248.85546875" bestFit="1" customWidth="1"/>
  </cols>
  <sheetData>
    <row r="1" spans="1:21">
      <c r="A1" s="1" t="s">
        <v>33</v>
      </c>
      <c r="B1" s="3" t="s">
        <v>139</v>
      </c>
    </row>
    <row r="2" spans="1:21">
      <c r="A2" s="1" t="s">
        <v>32</v>
      </c>
      <c r="B2" t="str">
        <f>"INSERT INTO " &amp; B1 &amp; "("</f>
        <v>INSERT INTO Ads(</v>
      </c>
    </row>
    <row r="3" spans="1:21">
      <c r="A3" s="1" t="s">
        <v>35</v>
      </c>
      <c r="B3" t="str">
        <f>") VALUES ("</f>
        <v>) VALUES (</v>
      </c>
    </row>
    <row r="4" spans="1:21">
      <c r="A4" s="1" t="s">
        <v>31</v>
      </c>
      <c r="B4" t="str">
        <f>");"</f>
        <v>);</v>
      </c>
    </row>
    <row r="5" spans="1:21">
      <c r="A5" s="1" t="s">
        <v>30</v>
      </c>
      <c r="B5" t="str">
        <f t="shared" ref="B5:J5" si="0">B10</f>
        <v>Id</v>
      </c>
      <c r="C5" s="3" t="str">
        <f t="shared" si="0"/>
        <v>Name</v>
      </c>
      <c r="D5" s="3" t="str">
        <f t="shared" si="0"/>
        <v>Device</v>
      </c>
      <c r="E5" s="5" t="str">
        <f t="shared" si="0"/>
        <v>Dimensions</v>
      </c>
      <c r="F5" s="5" t="str">
        <f t="shared" si="0"/>
        <v>CopyRequest</v>
      </c>
      <c r="G5" s="5" t="str">
        <f t="shared" si="0"/>
        <v>AspectRatio</v>
      </c>
      <c r="H5" s="5" t="str">
        <f t="shared" si="0"/>
        <v>FileTypes</v>
      </c>
      <c r="I5" s="5" t="str">
        <f t="shared" si="0"/>
        <v>FileSize</v>
      </c>
      <c r="J5" s="5" t="str">
        <f t="shared" si="0"/>
        <v>VideoDuration</v>
      </c>
      <c r="K5" s="5"/>
    </row>
    <row r="6" spans="1:21">
      <c r="A6" s="1" t="s">
        <v>34</v>
      </c>
      <c r="B6" t="str">
        <f>B5</f>
        <v>Id</v>
      </c>
      <c r="C6" t="str">
        <f t="shared" ref="C6:J6" si="1">B6  &amp; "," &amp; C5</f>
        <v>Id,Name</v>
      </c>
      <c r="D6" t="str">
        <f t="shared" si="1"/>
        <v>Id,Name,Device</v>
      </c>
      <c r="E6" t="str">
        <f t="shared" si="1"/>
        <v>Id,Name,Device,Dimensions</v>
      </c>
      <c r="F6" t="str">
        <f t="shared" si="1"/>
        <v>Id,Name,Device,Dimensions,CopyRequest</v>
      </c>
      <c r="G6" t="str">
        <f t="shared" si="1"/>
        <v>Id,Name,Device,Dimensions,CopyRequest,AspectRatio</v>
      </c>
      <c r="H6" t="str">
        <f t="shared" si="1"/>
        <v>Id,Name,Device,Dimensions,CopyRequest,AspectRatio,FileTypes</v>
      </c>
      <c r="I6" t="str">
        <f t="shared" si="1"/>
        <v>Id,Name,Device,Dimensions,CopyRequest,AspectRatio,FileTypes,FileSize</v>
      </c>
      <c r="J6" t="str">
        <f t="shared" si="1"/>
        <v>Id,Name,Device,Dimensions,CopyRequest,AspectRatio,FileTypes,FileSize,VideoDuration</v>
      </c>
    </row>
    <row r="7" spans="1:21">
      <c r="A7" s="1" t="s">
        <v>38</v>
      </c>
      <c r="B7" t="str">
        <f>B2 &amp; J6 &amp; B3</f>
        <v>INSERT INTO Ads(Id,Name,Device,Dimensions,CopyRequest,AspectRatio,FileTypes,FileSize,VideoDuration) VALUES (</v>
      </c>
    </row>
    <row r="8" spans="1:21">
      <c r="U8" s="6" t="str">
        <f>"ALTER TABLE " &amp; $B$1 &amp; " NOCHECK CONSTRAINT ALL"</f>
        <v>ALTER TABLE Ads NOCHECK CONSTRAINT ALL</v>
      </c>
    </row>
    <row r="9" spans="1:21">
      <c r="B9" s="10" t="s">
        <v>37</v>
      </c>
      <c r="C9" s="10"/>
      <c r="D9" s="2"/>
      <c r="E9" s="2"/>
      <c r="F9" s="2"/>
      <c r="G9" s="2"/>
      <c r="H9" s="2"/>
      <c r="I9" s="2"/>
      <c r="U9" t="str">
        <f>"DELETE FROM " &amp; $B$1 &amp; ";"</f>
        <v>DELETE FROM Ads;</v>
      </c>
    </row>
    <row r="10" spans="1:21">
      <c r="B10" s="1" t="s">
        <v>192</v>
      </c>
      <c r="C10" s="1" t="s">
        <v>193</v>
      </c>
      <c r="D10" s="1" t="s">
        <v>140</v>
      </c>
      <c r="E10" s="1" t="s">
        <v>141</v>
      </c>
      <c r="F10" s="1" t="s">
        <v>142</v>
      </c>
      <c r="G10" s="1" t="s">
        <v>143</v>
      </c>
      <c r="H10" s="1" t="s">
        <v>144</v>
      </c>
      <c r="I10" s="1" t="s">
        <v>145</v>
      </c>
      <c r="J10" s="1" t="s">
        <v>146</v>
      </c>
      <c r="K10" s="1"/>
      <c r="U10" t="str">
        <f>"SET IDENTITY_INSERT " &amp; $B$1 &amp; " ON;"</f>
        <v>SET IDENTITY_INSERT Ads ON;</v>
      </c>
    </row>
    <row r="11" spans="1:21">
      <c r="B11">
        <v>1</v>
      </c>
      <c r="C11" t="s">
        <v>39</v>
      </c>
      <c r="D11" t="s">
        <v>40</v>
      </c>
      <c r="E11" t="s">
        <v>41</v>
      </c>
      <c r="F11" t="s">
        <v>42</v>
      </c>
      <c r="G11" s="4">
        <v>0.67291666666666661</v>
      </c>
      <c r="H11" t="s">
        <v>43</v>
      </c>
      <c r="I11" t="s">
        <v>44</v>
      </c>
      <c r="J11" t="s">
        <v>45</v>
      </c>
      <c r="K11">
        <f>B11</f>
        <v>1</v>
      </c>
      <c r="L11" t="str">
        <f>"'" &amp; C11 &amp; "'"</f>
        <v>'Medium Rectangle / Video Companion Banner'</v>
      </c>
      <c r="M11" t="str">
        <f>"'" &amp; D11 &amp; "'"</f>
        <v>'Mobile'</v>
      </c>
      <c r="N11" t="str">
        <f t="shared" ref="N11:S11" si="2">"'" &amp; E11 &amp; "'"</f>
        <v>'160x800'</v>
      </c>
      <c r="O11" t="str">
        <f t="shared" si="2"/>
        <v>'No'</v>
      </c>
      <c r="P11" t="str">
        <f t="shared" si="2"/>
        <v>'0.672916666666667'</v>
      </c>
      <c r="Q11" t="str">
        <f t="shared" si="2"/>
        <v>'JPG, PNG, GIF, HTML5'</v>
      </c>
      <c r="R11" t="str">
        <f t="shared" si="2"/>
        <v>'150 KB'</v>
      </c>
      <c r="S11" t="str">
        <f t="shared" si="2"/>
        <v>'30s or less, 3 loops max'</v>
      </c>
      <c r="T11" t="str">
        <f>K11 &amp; "," &amp;  L11 &amp; "," &amp; M11 &amp; "," &amp; N11 &amp; "," &amp; O11 &amp; "," &amp; P11 &amp; "," &amp; Q11 &amp; "," &amp; R11 &amp; "," &amp; S11</f>
        <v>1,'Medium Rectangle / Video Companion Banner','Mobile','160x800','No','0.672916666666667','JPG, PNG, GIF, HTML5','150 KB','30s or less, 3 loops max'</v>
      </c>
      <c r="U11" t="str">
        <f t="shared" ref="U11:U34" si="3">$B$7 &amp; T11 &amp; $B$4</f>
        <v>INSERT INTO Ads(Id,Name,Device,Dimensions,CopyRequest,AspectRatio,FileTypes,FileSize,VideoDuration) VALUES (1,'Medium Rectangle / Video Companion Banner','Mobile','160x800','No','0.672916666666667','JPG, PNG, GIF, HTML5','150 KB','30s or less, 3 loops max');</v>
      </c>
    </row>
    <row r="12" spans="1:21">
      <c r="B12">
        <v>2</v>
      </c>
      <c r="C12" t="s">
        <v>46</v>
      </c>
      <c r="D12" t="s">
        <v>47</v>
      </c>
      <c r="E12" t="s">
        <v>48</v>
      </c>
      <c r="F12" t="s">
        <v>42</v>
      </c>
      <c r="G12" s="4">
        <v>0.71458333333333324</v>
      </c>
      <c r="H12" t="s">
        <v>49</v>
      </c>
      <c r="I12" t="s">
        <v>50</v>
      </c>
      <c r="J12" t="s">
        <v>45</v>
      </c>
      <c r="K12">
        <f t="shared" ref="K12:K34" si="4">B12</f>
        <v>2</v>
      </c>
      <c r="L12" t="str">
        <f t="shared" ref="L12:L34" si="5">"'" &amp; C12 &amp; "'"</f>
        <v>'Leaderboard / Video Companion Banner'</v>
      </c>
      <c r="M12" t="str">
        <f t="shared" ref="M12:M34" si="6">"'" &amp; D12 &amp; "'"</f>
        <v>'Desktop'</v>
      </c>
      <c r="N12" t="str">
        <f t="shared" ref="N12:N34" si="7">"'" &amp; E12 &amp; "'"</f>
        <v>'160x801'</v>
      </c>
      <c r="O12" t="str">
        <f t="shared" ref="O12:O34" si="8">"'" &amp; F12 &amp; "'"</f>
        <v>'No'</v>
      </c>
      <c r="P12" t="str">
        <f t="shared" ref="P12:P34" si="9">"'" &amp; G12 &amp; "'"</f>
        <v>'0.714583333333333'</v>
      </c>
      <c r="Q12" t="str">
        <f t="shared" ref="Q12:Q34" si="10">"'" &amp; H12 &amp; "'"</f>
        <v>'JPG, PNG, GIF, HTML6'</v>
      </c>
      <c r="R12" t="str">
        <f t="shared" ref="R12:R34" si="11">"'" &amp; I12 &amp; "'"</f>
        <v>'151 KB'</v>
      </c>
      <c r="S12" t="str">
        <f t="shared" ref="S12:S34" si="12">"'" &amp; J12 &amp; "'"</f>
        <v>'30s or less, 3 loops max'</v>
      </c>
      <c r="T12" t="str">
        <f t="shared" ref="T12:T34" si="13">K12 &amp; "," &amp;  L12 &amp; "," &amp; M12 &amp; "," &amp; N12 &amp; "," &amp; O12 &amp; "," &amp; P12 &amp; "," &amp; Q12 &amp; "," &amp; R12 &amp; "," &amp; S12</f>
        <v>2,'Leaderboard / Video Companion Banner','Desktop','160x801','No','0.714583333333333','JPG, PNG, GIF, HTML6','151 KB','30s or less, 3 loops max'</v>
      </c>
      <c r="U12" t="str">
        <f t="shared" si="3"/>
        <v>INSERT INTO Ads(Id,Name,Device,Dimensions,CopyRequest,AspectRatio,FileTypes,FileSize,VideoDuration) VALUES (2,'Leaderboard / Video Companion Banner','Desktop','160x801','No','0.714583333333333','JPG, PNG, GIF, HTML6','151 KB','30s or less, 3 loops max');</v>
      </c>
    </row>
    <row r="13" spans="1:21">
      <c r="B13">
        <v>3</v>
      </c>
      <c r="C13" t="s">
        <v>51</v>
      </c>
      <c r="D13" t="s">
        <v>40</v>
      </c>
      <c r="E13" t="s">
        <v>52</v>
      </c>
      <c r="F13" t="s">
        <v>42</v>
      </c>
      <c r="G13" s="4">
        <v>0.75624999999999998</v>
      </c>
      <c r="H13" t="s">
        <v>53</v>
      </c>
      <c r="I13" t="s">
        <v>54</v>
      </c>
      <c r="J13" t="s">
        <v>45</v>
      </c>
      <c r="K13">
        <f t="shared" si="4"/>
        <v>3</v>
      </c>
      <c r="L13" t="str">
        <f t="shared" si="5"/>
        <v>'Wide Skyscraper'</v>
      </c>
      <c r="M13" t="str">
        <f t="shared" si="6"/>
        <v>'Mobile'</v>
      </c>
      <c r="N13" t="str">
        <f t="shared" si="7"/>
        <v>'160x802'</v>
      </c>
      <c r="O13" t="str">
        <f t="shared" si="8"/>
        <v>'No'</v>
      </c>
      <c r="P13" t="str">
        <f t="shared" si="9"/>
        <v>'0.75625'</v>
      </c>
      <c r="Q13" t="str">
        <f t="shared" si="10"/>
        <v>'JPG, PNG, GIF, HTML7'</v>
      </c>
      <c r="R13" t="str">
        <f t="shared" si="11"/>
        <v>'152 KB'</v>
      </c>
      <c r="S13" t="str">
        <f t="shared" si="12"/>
        <v>'30s or less, 3 loops max'</v>
      </c>
      <c r="T13" t="str">
        <f t="shared" si="13"/>
        <v>3,'Wide Skyscraper','Mobile','160x802','No','0.75625','JPG, PNG, GIF, HTML7','152 KB','30s or less, 3 loops max'</v>
      </c>
      <c r="U13" t="str">
        <f t="shared" si="3"/>
        <v>INSERT INTO Ads(Id,Name,Device,Dimensions,CopyRequest,AspectRatio,FileTypes,FileSize,VideoDuration) VALUES (3,'Wide Skyscraper','Mobile','160x802','No','0.75625','JPG, PNG, GIF, HTML7','152 KB','30s or less, 3 loops max');</v>
      </c>
    </row>
    <row r="14" spans="1:21">
      <c r="B14">
        <v>4</v>
      </c>
      <c r="C14" t="s">
        <v>55</v>
      </c>
      <c r="D14" t="s">
        <v>40</v>
      </c>
      <c r="E14" t="s">
        <v>56</v>
      </c>
      <c r="F14" t="s">
        <v>42</v>
      </c>
      <c r="G14" s="4">
        <v>0.79791666666666661</v>
      </c>
      <c r="H14" t="s">
        <v>57</v>
      </c>
      <c r="I14" t="s">
        <v>58</v>
      </c>
      <c r="J14" t="s">
        <v>45</v>
      </c>
      <c r="K14">
        <f t="shared" si="4"/>
        <v>4</v>
      </c>
      <c r="L14" t="str">
        <f t="shared" si="5"/>
        <v>'Half Page'</v>
      </c>
      <c r="M14" t="str">
        <f t="shared" si="6"/>
        <v>'Mobile'</v>
      </c>
      <c r="N14" t="str">
        <f t="shared" si="7"/>
        <v>'160x803'</v>
      </c>
      <c r="O14" t="str">
        <f t="shared" si="8"/>
        <v>'No'</v>
      </c>
      <c r="P14" t="str">
        <f t="shared" si="9"/>
        <v>'0.797916666666667'</v>
      </c>
      <c r="Q14" t="str">
        <f t="shared" si="10"/>
        <v>'JPG, PNG, GIF, HTML8'</v>
      </c>
      <c r="R14" t="str">
        <f t="shared" si="11"/>
        <v>'153 KB'</v>
      </c>
      <c r="S14" t="str">
        <f t="shared" si="12"/>
        <v>'30s or less, 3 loops max'</v>
      </c>
      <c r="T14" t="str">
        <f t="shared" si="13"/>
        <v>4,'Half Page','Mobile','160x803','No','0.797916666666667','JPG, PNG, GIF, HTML8','153 KB','30s or less, 3 loops max'</v>
      </c>
      <c r="U14" t="str">
        <f t="shared" si="3"/>
        <v>INSERT INTO Ads(Id,Name,Device,Dimensions,CopyRequest,AspectRatio,FileTypes,FileSize,VideoDuration) VALUES (4,'Half Page','Mobile','160x803','No','0.797916666666667','JPG, PNG, GIF, HTML8','153 KB','30s or less, 3 loops max');</v>
      </c>
    </row>
    <row r="15" spans="1:21">
      <c r="B15">
        <v>5</v>
      </c>
      <c r="C15" t="s">
        <v>59</v>
      </c>
      <c r="D15" t="s">
        <v>47</v>
      </c>
      <c r="E15" t="s">
        <v>60</v>
      </c>
      <c r="F15" t="s">
        <v>42</v>
      </c>
      <c r="G15" s="4">
        <v>0.83958333333333324</v>
      </c>
      <c r="H15" t="s">
        <v>61</v>
      </c>
      <c r="I15" t="s">
        <v>62</v>
      </c>
      <c r="J15" t="s">
        <v>45</v>
      </c>
      <c r="K15">
        <f t="shared" si="4"/>
        <v>5</v>
      </c>
      <c r="L15" t="str">
        <f t="shared" si="5"/>
        <v>'Billboard'</v>
      </c>
      <c r="M15" t="str">
        <f t="shared" si="6"/>
        <v>'Desktop'</v>
      </c>
      <c r="N15" t="str">
        <f t="shared" si="7"/>
        <v>'160x804'</v>
      </c>
      <c r="O15" t="str">
        <f t="shared" si="8"/>
        <v>'No'</v>
      </c>
      <c r="P15" t="str">
        <f t="shared" si="9"/>
        <v>'0.839583333333333'</v>
      </c>
      <c r="Q15" t="str">
        <f t="shared" si="10"/>
        <v>'JPG, PNG, GIF, HTML9'</v>
      </c>
      <c r="R15" t="str">
        <f t="shared" si="11"/>
        <v>'154 KB'</v>
      </c>
      <c r="S15" t="str">
        <f t="shared" si="12"/>
        <v>'30s or less, 3 loops max'</v>
      </c>
      <c r="T15" t="str">
        <f t="shared" si="13"/>
        <v>5,'Billboard','Desktop','160x804','No','0.839583333333333','JPG, PNG, GIF, HTML9','154 KB','30s or less, 3 loops max'</v>
      </c>
      <c r="U15" t="str">
        <f t="shared" si="3"/>
        <v>INSERT INTO Ads(Id,Name,Device,Dimensions,CopyRequest,AspectRatio,FileTypes,FileSize,VideoDuration) VALUES (5,'Billboard','Desktop','160x804','No','0.839583333333333','JPG, PNG, GIF, HTML9','154 KB','30s or less, 3 loops max');</v>
      </c>
    </row>
    <row r="16" spans="1:21">
      <c r="B16">
        <v>6</v>
      </c>
      <c r="C16" t="s">
        <v>63</v>
      </c>
      <c r="D16" t="s">
        <v>40</v>
      </c>
      <c r="E16" t="s">
        <v>64</v>
      </c>
      <c r="F16" t="s">
        <v>42</v>
      </c>
      <c r="G16" s="4">
        <v>0.88124999999999998</v>
      </c>
      <c r="H16" t="s">
        <v>65</v>
      </c>
      <c r="I16" t="s">
        <v>66</v>
      </c>
      <c r="J16" t="s">
        <v>45</v>
      </c>
      <c r="K16">
        <f t="shared" si="4"/>
        <v>6</v>
      </c>
      <c r="L16" t="str">
        <f t="shared" si="5"/>
        <v>'Mobile Leaderboard'</v>
      </c>
      <c r="M16" t="str">
        <f t="shared" si="6"/>
        <v>'Mobile'</v>
      </c>
      <c r="N16" t="str">
        <f t="shared" si="7"/>
        <v>'160x805'</v>
      </c>
      <c r="O16" t="str">
        <f t="shared" si="8"/>
        <v>'No'</v>
      </c>
      <c r="P16" t="str">
        <f t="shared" si="9"/>
        <v>'0.88125'</v>
      </c>
      <c r="Q16" t="str">
        <f t="shared" si="10"/>
        <v>'JPG, PNG, GIF, HTML10'</v>
      </c>
      <c r="R16" t="str">
        <f t="shared" si="11"/>
        <v>'155 KB'</v>
      </c>
      <c r="S16" t="str">
        <f t="shared" si="12"/>
        <v>'30s or less, 3 loops max'</v>
      </c>
      <c r="T16" t="str">
        <f t="shared" si="13"/>
        <v>6,'Mobile Leaderboard','Mobile','160x805','No','0.88125','JPG, PNG, GIF, HTML10','155 KB','30s or less, 3 loops max'</v>
      </c>
      <c r="U16" t="str">
        <f t="shared" si="3"/>
        <v>INSERT INTO Ads(Id,Name,Device,Dimensions,CopyRequest,AspectRatio,FileTypes,FileSize,VideoDuration) VALUES (6,'Mobile Leaderboard','Mobile','160x805','No','0.88125','JPG, PNG, GIF, HTML10','155 KB','30s or less, 3 loops max');</v>
      </c>
    </row>
    <row r="17" spans="2:21">
      <c r="B17">
        <v>7</v>
      </c>
      <c r="C17" t="s">
        <v>67</v>
      </c>
      <c r="D17" t="s">
        <v>40</v>
      </c>
      <c r="E17" t="s">
        <v>68</v>
      </c>
      <c r="F17" t="s">
        <v>42</v>
      </c>
      <c r="G17" s="4">
        <v>0.92291666666666661</v>
      </c>
      <c r="H17" t="s">
        <v>69</v>
      </c>
      <c r="I17" t="s">
        <v>70</v>
      </c>
      <c r="J17" t="s">
        <v>45</v>
      </c>
      <c r="K17">
        <f t="shared" si="4"/>
        <v>7</v>
      </c>
      <c r="L17" t="str">
        <f t="shared" si="5"/>
        <v>'Mobile Banner'</v>
      </c>
      <c r="M17" t="str">
        <f t="shared" si="6"/>
        <v>'Mobile'</v>
      </c>
      <c r="N17" t="str">
        <f t="shared" si="7"/>
        <v>'160x806'</v>
      </c>
      <c r="O17" t="str">
        <f t="shared" si="8"/>
        <v>'No'</v>
      </c>
      <c r="P17" t="str">
        <f t="shared" si="9"/>
        <v>'0.922916666666667'</v>
      </c>
      <c r="Q17" t="str">
        <f t="shared" si="10"/>
        <v>'JPG, PNG, GIF, HTML11'</v>
      </c>
      <c r="R17" t="str">
        <f t="shared" si="11"/>
        <v>'156 KB'</v>
      </c>
      <c r="S17" t="str">
        <f t="shared" si="12"/>
        <v>'30s or less, 3 loops max'</v>
      </c>
      <c r="T17" t="str">
        <f t="shared" si="13"/>
        <v>7,'Mobile Banner','Mobile','160x806','No','0.922916666666667','JPG, PNG, GIF, HTML11','156 KB','30s or less, 3 loops max'</v>
      </c>
      <c r="U17" t="str">
        <f t="shared" si="3"/>
        <v>INSERT INTO Ads(Id,Name,Device,Dimensions,CopyRequest,AspectRatio,FileTypes,FileSize,VideoDuration) VALUES (7,'Mobile Banner','Mobile','160x806','No','0.922916666666667','JPG, PNG, GIF, HTML11','156 KB','30s or less, 3 loops max');</v>
      </c>
    </row>
    <row r="18" spans="2:21">
      <c r="B18">
        <v>8</v>
      </c>
      <c r="C18" t="s">
        <v>71</v>
      </c>
      <c r="D18" t="s">
        <v>40</v>
      </c>
      <c r="E18" t="s">
        <v>72</v>
      </c>
      <c r="F18" t="s">
        <v>42</v>
      </c>
      <c r="G18" s="4">
        <v>0.96458333333333324</v>
      </c>
      <c r="H18" t="s">
        <v>73</v>
      </c>
      <c r="I18" t="s">
        <v>74</v>
      </c>
      <c r="J18" t="s">
        <v>45</v>
      </c>
      <c r="K18">
        <f t="shared" si="4"/>
        <v>8</v>
      </c>
      <c r="L18" t="str">
        <f t="shared" si="5"/>
        <v>'Large Mobile Banner'</v>
      </c>
      <c r="M18" t="str">
        <f t="shared" si="6"/>
        <v>'Mobile'</v>
      </c>
      <c r="N18" t="str">
        <f t="shared" si="7"/>
        <v>'160x807'</v>
      </c>
      <c r="O18" t="str">
        <f t="shared" si="8"/>
        <v>'No'</v>
      </c>
      <c r="P18" t="str">
        <f t="shared" si="9"/>
        <v>'0.964583333333333'</v>
      </c>
      <c r="Q18" t="str">
        <f t="shared" si="10"/>
        <v>'JPG, PNG, GIF, HTML12'</v>
      </c>
      <c r="R18" t="str">
        <f t="shared" si="11"/>
        <v>'157 KB'</v>
      </c>
      <c r="S18" t="str">
        <f t="shared" si="12"/>
        <v>'30s or less, 3 loops max'</v>
      </c>
      <c r="T18" t="str">
        <f t="shared" si="13"/>
        <v>8,'Large Mobile Banner','Mobile','160x807','No','0.964583333333333','JPG, PNG, GIF, HTML12','157 KB','30s or less, 3 loops max'</v>
      </c>
      <c r="U18" t="str">
        <f t="shared" si="3"/>
        <v>INSERT INTO Ads(Id,Name,Device,Dimensions,CopyRequest,AspectRatio,FileTypes,FileSize,VideoDuration) VALUES (8,'Large Mobile Banner','Mobile','160x807','No','0.964583333333333','JPG, PNG, GIF, HTML12','157 KB','30s or less, 3 loops max');</v>
      </c>
    </row>
    <row r="19" spans="2:21">
      <c r="B19">
        <v>9</v>
      </c>
      <c r="C19" t="s">
        <v>75</v>
      </c>
      <c r="D19" t="s">
        <v>47</v>
      </c>
      <c r="E19" t="s">
        <v>76</v>
      </c>
      <c r="F19" t="s">
        <v>42</v>
      </c>
      <c r="G19" s="4">
        <v>6.2499999999999995E-3</v>
      </c>
      <c r="H19" t="s">
        <v>77</v>
      </c>
      <c r="I19" t="s">
        <v>78</v>
      </c>
      <c r="J19" t="s">
        <v>45</v>
      </c>
      <c r="K19">
        <f t="shared" si="4"/>
        <v>9</v>
      </c>
      <c r="L19" t="str">
        <f t="shared" si="5"/>
        <v>'Master Landscape Video'</v>
      </c>
      <c r="M19" t="str">
        <f t="shared" si="6"/>
        <v>'Desktop'</v>
      </c>
      <c r="N19" t="str">
        <f t="shared" si="7"/>
        <v>'160x808'</v>
      </c>
      <c r="O19" t="str">
        <f t="shared" si="8"/>
        <v>'No'</v>
      </c>
      <c r="P19" t="str">
        <f t="shared" si="9"/>
        <v>'0.00625'</v>
      </c>
      <c r="Q19" t="str">
        <f t="shared" si="10"/>
        <v>'JPG, PNG, GIF, HTML13'</v>
      </c>
      <c r="R19" t="str">
        <f t="shared" si="11"/>
        <v>'158 KB'</v>
      </c>
      <c r="S19" t="str">
        <f t="shared" si="12"/>
        <v>'30s or less, 3 loops max'</v>
      </c>
      <c r="T19" t="str">
        <f t="shared" si="13"/>
        <v>9,'Master Landscape Video','Desktop','160x808','No','0.00625','JPG, PNG, GIF, HTML13','158 KB','30s or less, 3 loops max'</v>
      </c>
      <c r="U19" t="str">
        <f t="shared" si="3"/>
        <v>INSERT INTO Ads(Id,Name,Device,Dimensions,CopyRequest,AspectRatio,FileTypes,FileSize,VideoDuration) VALUES (9,'Master Landscape Video','Desktop','160x808','No','0.00625','JPG, PNG, GIF, HTML13','158 KB','30s or less, 3 loops max');</v>
      </c>
    </row>
    <row r="20" spans="2:21">
      <c r="B20">
        <v>10</v>
      </c>
      <c r="C20" t="s">
        <v>79</v>
      </c>
      <c r="D20" t="s">
        <v>40</v>
      </c>
      <c r="E20" t="s">
        <v>80</v>
      </c>
      <c r="F20" t="s">
        <v>42</v>
      </c>
      <c r="G20" s="4">
        <v>4.7916666666666663E-2</v>
      </c>
      <c r="H20" t="s">
        <v>81</v>
      </c>
      <c r="I20" t="s">
        <v>82</v>
      </c>
      <c r="J20" t="s">
        <v>45</v>
      </c>
      <c r="K20">
        <f t="shared" si="4"/>
        <v>10</v>
      </c>
      <c r="L20" t="str">
        <f t="shared" si="5"/>
        <v>'Master Portrait Video'</v>
      </c>
      <c r="M20" t="str">
        <f t="shared" si="6"/>
        <v>'Mobile'</v>
      </c>
      <c r="N20" t="str">
        <f t="shared" si="7"/>
        <v>'160x809'</v>
      </c>
      <c r="O20" t="str">
        <f t="shared" si="8"/>
        <v>'No'</v>
      </c>
      <c r="P20" t="str">
        <f t="shared" si="9"/>
        <v>'0.0479166666666667'</v>
      </c>
      <c r="Q20" t="str">
        <f t="shared" si="10"/>
        <v>'JPG, PNG, GIF, HTML14'</v>
      </c>
      <c r="R20" t="str">
        <f t="shared" si="11"/>
        <v>'159 KB'</v>
      </c>
      <c r="S20" t="str">
        <f t="shared" si="12"/>
        <v>'30s or less, 3 loops max'</v>
      </c>
      <c r="T20" t="str">
        <f t="shared" si="13"/>
        <v>10,'Master Portrait Video','Mobile','160x809','No','0.0479166666666667','JPG, PNG, GIF, HTML14','159 KB','30s or less, 3 loops max'</v>
      </c>
      <c r="U20" t="str">
        <f t="shared" si="3"/>
        <v>INSERT INTO Ads(Id,Name,Device,Dimensions,CopyRequest,AspectRatio,FileTypes,FileSize,VideoDuration) VALUES (10,'Master Portrait Video','Mobile','160x809','No','0.0479166666666667','JPG, PNG, GIF, HTML14','159 KB','30s or less, 3 loops max');</v>
      </c>
    </row>
    <row r="21" spans="2:21">
      <c r="B21">
        <v>11</v>
      </c>
      <c r="C21" t="s">
        <v>83</v>
      </c>
      <c r="D21" t="s">
        <v>40</v>
      </c>
      <c r="E21" t="s">
        <v>84</v>
      </c>
      <c r="F21" t="s">
        <v>42</v>
      </c>
      <c r="G21" s="4">
        <v>8.9583333333333334E-2</v>
      </c>
      <c r="H21" t="s">
        <v>85</v>
      </c>
      <c r="I21" t="s">
        <v>86</v>
      </c>
      <c r="J21" t="s">
        <v>45</v>
      </c>
      <c r="K21">
        <f t="shared" si="4"/>
        <v>11</v>
      </c>
      <c r="L21" t="str">
        <f t="shared" si="5"/>
        <v>'Master Square Video'</v>
      </c>
      <c r="M21" t="str">
        <f t="shared" si="6"/>
        <v>'Mobile'</v>
      </c>
      <c r="N21" t="str">
        <f t="shared" si="7"/>
        <v>'160x810'</v>
      </c>
      <c r="O21" t="str">
        <f t="shared" si="8"/>
        <v>'No'</v>
      </c>
      <c r="P21" t="str">
        <f t="shared" si="9"/>
        <v>'0.0895833333333333'</v>
      </c>
      <c r="Q21" t="str">
        <f t="shared" si="10"/>
        <v>'JPG, PNG, GIF, HTML15'</v>
      </c>
      <c r="R21" t="str">
        <f t="shared" si="11"/>
        <v>'160 KB'</v>
      </c>
      <c r="S21" t="str">
        <f t="shared" si="12"/>
        <v>'30s or less, 3 loops max'</v>
      </c>
      <c r="T21" t="str">
        <f t="shared" si="13"/>
        <v>11,'Master Square Video','Mobile','160x810','No','0.0895833333333333','JPG, PNG, GIF, HTML15','160 KB','30s or less, 3 loops max'</v>
      </c>
      <c r="U21" t="str">
        <f t="shared" si="3"/>
        <v>INSERT INTO Ads(Id,Name,Device,Dimensions,CopyRequest,AspectRatio,FileTypes,FileSize,VideoDuration) VALUES (11,'Master Square Video','Mobile','160x810','No','0.0895833333333333','JPG, PNG, GIF, HTML15','160 KB','30s or less, 3 loops max');</v>
      </c>
    </row>
    <row r="22" spans="2:21">
      <c r="B22">
        <v>12</v>
      </c>
      <c r="C22" t="s">
        <v>87</v>
      </c>
      <c r="D22" t="s">
        <v>47</v>
      </c>
      <c r="E22" t="s">
        <v>88</v>
      </c>
      <c r="F22" t="s">
        <v>42</v>
      </c>
      <c r="G22" s="4">
        <v>0.13125000000000001</v>
      </c>
      <c r="H22" t="s">
        <v>89</v>
      </c>
      <c r="I22" t="s">
        <v>90</v>
      </c>
      <c r="J22" t="s">
        <v>45</v>
      </c>
      <c r="K22">
        <f t="shared" si="4"/>
        <v>12</v>
      </c>
      <c r="L22" t="str">
        <f t="shared" si="5"/>
        <v>'Regional Ad - Russia'</v>
      </c>
      <c r="M22" t="str">
        <f t="shared" si="6"/>
        <v>'Desktop'</v>
      </c>
      <c r="N22" t="str">
        <f t="shared" si="7"/>
        <v>'160x811'</v>
      </c>
      <c r="O22" t="str">
        <f t="shared" si="8"/>
        <v>'No'</v>
      </c>
      <c r="P22" t="str">
        <f t="shared" si="9"/>
        <v>'0.13125'</v>
      </c>
      <c r="Q22" t="str">
        <f t="shared" si="10"/>
        <v>'JPG, PNG, GIF, HTML16'</v>
      </c>
      <c r="R22" t="str">
        <f t="shared" si="11"/>
        <v>'161 KB'</v>
      </c>
      <c r="S22" t="str">
        <f t="shared" si="12"/>
        <v>'30s or less, 3 loops max'</v>
      </c>
      <c r="T22" t="str">
        <f t="shared" si="13"/>
        <v>12,'Regional Ad - Russia','Desktop','160x811','No','0.13125','JPG, PNG, GIF, HTML16','161 KB','30s or less, 3 loops max'</v>
      </c>
      <c r="U22" t="str">
        <f t="shared" si="3"/>
        <v>INSERT INTO Ads(Id,Name,Device,Dimensions,CopyRequest,AspectRatio,FileTypes,FileSize,VideoDuration) VALUES (12,'Regional Ad - Russia','Desktop','160x811','No','0.13125','JPG, PNG, GIF, HTML16','161 KB','30s or less, 3 loops max');</v>
      </c>
    </row>
    <row r="23" spans="2:21">
      <c r="B23">
        <v>13</v>
      </c>
      <c r="C23" t="s">
        <v>91</v>
      </c>
      <c r="D23" t="s">
        <v>40</v>
      </c>
      <c r="E23" t="s">
        <v>92</v>
      </c>
      <c r="F23" t="s">
        <v>42</v>
      </c>
      <c r="G23" s="4">
        <v>0.17291666666666669</v>
      </c>
      <c r="H23" t="s">
        <v>93</v>
      </c>
      <c r="I23" t="s">
        <v>94</v>
      </c>
      <c r="J23" t="s">
        <v>45</v>
      </c>
      <c r="K23">
        <f t="shared" si="4"/>
        <v>13</v>
      </c>
      <c r="L23" t="str">
        <f t="shared" si="5"/>
        <v>'Regional Ad - Poland'</v>
      </c>
      <c r="M23" t="str">
        <f t="shared" si="6"/>
        <v>'Mobile'</v>
      </c>
      <c r="N23" t="str">
        <f t="shared" si="7"/>
        <v>'160x812'</v>
      </c>
      <c r="O23" t="str">
        <f t="shared" si="8"/>
        <v>'No'</v>
      </c>
      <c r="P23" t="str">
        <f t="shared" si="9"/>
        <v>'0.172916666666667'</v>
      </c>
      <c r="Q23" t="str">
        <f t="shared" si="10"/>
        <v>'JPG, PNG, GIF, HTML17'</v>
      </c>
      <c r="R23" t="str">
        <f t="shared" si="11"/>
        <v>'162 KB'</v>
      </c>
      <c r="S23" t="str">
        <f t="shared" si="12"/>
        <v>'30s or less, 3 loops max'</v>
      </c>
      <c r="T23" t="str">
        <f t="shared" si="13"/>
        <v>13,'Regional Ad - Poland','Mobile','160x812','No','0.172916666666667','JPG, PNG, GIF, HTML17','162 KB','30s or less, 3 loops max'</v>
      </c>
      <c r="U23" t="str">
        <f t="shared" si="3"/>
        <v>INSERT INTO Ads(Id,Name,Device,Dimensions,CopyRequest,AspectRatio,FileTypes,FileSize,VideoDuration) VALUES (13,'Regional Ad - Poland','Mobile','160x812','No','0.172916666666667','JPG, PNG, GIF, HTML17','162 KB','30s or less, 3 loops max');</v>
      </c>
    </row>
    <row r="24" spans="2:21">
      <c r="B24">
        <v>14</v>
      </c>
      <c r="C24" t="s">
        <v>95</v>
      </c>
      <c r="D24" t="s">
        <v>47</v>
      </c>
      <c r="E24" t="s">
        <v>96</v>
      </c>
      <c r="F24" t="s">
        <v>42</v>
      </c>
      <c r="G24" s="4">
        <v>0.21458333333333335</v>
      </c>
      <c r="H24" t="s">
        <v>97</v>
      </c>
      <c r="I24" t="s">
        <v>98</v>
      </c>
      <c r="J24" t="s">
        <v>45</v>
      </c>
      <c r="K24">
        <f t="shared" si="4"/>
        <v>14</v>
      </c>
      <c r="L24" t="str">
        <f t="shared" si="5"/>
        <v>'Regional Ad - GSA, FR'</v>
      </c>
      <c r="M24" t="str">
        <f t="shared" si="6"/>
        <v>'Desktop'</v>
      </c>
      <c r="N24" t="str">
        <f t="shared" si="7"/>
        <v>'160x813'</v>
      </c>
      <c r="O24" t="str">
        <f t="shared" si="8"/>
        <v>'No'</v>
      </c>
      <c r="P24" t="str">
        <f t="shared" si="9"/>
        <v>'0.214583333333333'</v>
      </c>
      <c r="Q24" t="str">
        <f t="shared" si="10"/>
        <v>'JPG, PNG, GIF, HTML18'</v>
      </c>
      <c r="R24" t="str">
        <f t="shared" si="11"/>
        <v>'163 KB'</v>
      </c>
      <c r="S24" t="str">
        <f t="shared" si="12"/>
        <v>'30s or less, 3 loops max'</v>
      </c>
      <c r="T24" t="str">
        <f t="shared" si="13"/>
        <v>14,'Regional Ad - GSA, FR','Desktop','160x813','No','0.214583333333333','JPG, PNG, GIF, HTML18','163 KB','30s or less, 3 loops max'</v>
      </c>
      <c r="U24" t="str">
        <f t="shared" si="3"/>
        <v>INSERT INTO Ads(Id,Name,Device,Dimensions,CopyRequest,AspectRatio,FileTypes,FileSize,VideoDuration) VALUES (14,'Regional Ad - GSA, FR','Desktop','160x813','No','0.214583333333333','JPG, PNG, GIF, HTML18','163 KB','30s or less, 3 loops max');</v>
      </c>
    </row>
    <row r="25" spans="2:21">
      <c r="B25">
        <v>15</v>
      </c>
      <c r="C25" t="s">
        <v>99</v>
      </c>
      <c r="D25" t="s">
        <v>40</v>
      </c>
      <c r="E25" t="s">
        <v>100</v>
      </c>
      <c r="F25" t="s">
        <v>42</v>
      </c>
      <c r="G25" s="4">
        <v>0.25625000000000003</v>
      </c>
      <c r="H25" t="s">
        <v>101</v>
      </c>
      <c r="I25" t="s">
        <v>102</v>
      </c>
      <c r="J25" t="s">
        <v>45</v>
      </c>
      <c r="K25">
        <f t="shared" si="4"/>
        <v>15</v>
      </c>
      <c r="L25" t="str">
        <f t="shared" si="5"/>
        <v>'Leaderboard'</v>
      </c>
      <c r="M25" t="str">
        <f t="shared" si="6"/>
        <v>'Mobile'</v>
      </c>
      <c r="N25" t="str">
        <f t="shared" si="7"/>
        <v>'160x814'</v>
      </c>
      <c r="O25" t="str">
        <f t="shared" si="8"/>
        <v>'No'</v>
      </c>
      <c r="P25" t="str">
        <f t="shared" si="9"/>
        <v>'0.25625'</v>
      </c>
      <c r="Q25" t="str">
        <f t="shared" si="10"/>
        <v>'JPG, PNG, GIF, HTML19'</v>
      </c>
      <c r="R25" t="str">
        <f t="shared" si="11"/>
        <v>'164 KB'</v>
      </c>
      <c r="S25" t="str">
        <f t="shared" si="12"/>
        <v>'30s or less, 3 loops max'</v>
      </c>
      <c r="T25" t="str">
        <f t="shared" si="13"/>
        <v>15,'Leaderboard','Mobile','160x814','No','0.25625','JPG, PNG, GIF, HTML19','164 KB','30s or less, 3 loops max'</v>
      </c>
      <c r="U25" t="str">
        <f t="shared" si="3"/>
        <v>INSERT INTO Ads(Id,Name,Device,Dimensions,CopyRequest,AspectRatio,FileTypes,FileSize,VideoDuration) VALUES (15,'Leaderboard','Mobile','160x814','No','0.25625','JPG, PNG, GIF, HTML19','164 KB','30s or less, 3 loops max');</v>
      </c>
    </row>
    <row r="26" spans="2:21">
      <c r="B26">
        <v>16</v>
      </c>
      <c r="C26" t="s">
        <v>103</v>
      </c>
      <c r="D26" t="s">
        <v>40</v>
      </c>
      <c r="E26" t="s">
        <v>104</v>
      </c>
      <c r="F26" t="s">
        <v>42</v>
      </c>
      <c r="G26" s="4">
        <v>0.29791666666666666</v>
      </c>
      <c r="H26" t="s">
        <v>105</v>
      </c>
      <c r="I26" t="s">
        <v>106</v>
      </c>
      <c r="J26" t="s">
        <v>45</v>
      </c>
      <c r="K26">
        <f t="shared" si="4"/>
        <v>16</v>
      </c>
      <c r="L26" t="str">
        <f t="shared" si="5"/>
        <v>'Medium Rectangle'</v>
      </c>
      <c r="M26" t="str">
        <f t="shared" si="6"/>
        <v>'Mobile'</v>
      </c>
      <c r="N26" t="str">
        <f t="shared" si="7"/>
        <v>'160x815'</v>
      </c>
      <c r="O26" t="str">
        <f t="shared" si="8"/>
        <v>'No'</v>
      </c>
      <c r="P26" t="str">
        <f t="shared" si="9"/>
        <v>'0.297916666666667'</v>
      </c>
      <c r="Q26" t="str">
        <f t="shared" si="10"/>
        <v>'JPG, PNG, GIF, HTML20'</v>
      </c>
      <c r="R26" t="str">
        <f t="shared" si="11"/>
        <v>'165 KB'</v>
      </c>
      <c r="S26" t="str">
        <f t="shared" si="12"/>
        <v>'30s or less, 3 loops max'</v>
      </c>
      <c r="T26" t="str">
        <f t="shared" si="13"/>
        <v>16,'Medium Rectangle','Mobile','160x815','No','0.297916666666667','JPG, PNG, GIF, HTML20','165 KB','30s or less, 3 loops max'</v>
      </c>
      <c r="U26" t="str">
        <f t="shared" si="3"/>
        <v>INSERT INTO Ads(Id,Name,Device,Dimensions,CopyRequest,AspectRatio,FileTypes,FileSize,VideoDuration) VALUES (16,'Medium Rectangle','Mobile','160x815','No','0.297916666666667','JPG, PNG, GIF, HTML20','165 KB','30s or less, 3 loops max');</v>
      </c>
    </row>
    <row r="27" spans="2:21">
      <c r="B27">
        <v>17</v>
      </c>
      <c r="C27" t="s">
        <v>107</v>
      </c>
      <c r="D27" t="s">
        <v>40</v>
      </c>
      <c r="E27" t="s">
        <v>108</v>
      </c>
      <c r="F27" t="s">
        <v>42</v>
      </c>
      <c r="G27" s="4">
        <v>0.33958333333333335</v>
      </c>
      <c r="H27" t="s">
        <v>109</v>
      </c>
      <c r="I27" t="s">
        <v>110</v>
      </c>
      <c r="J27" t="s">
        <v>45</v>
      </c>
      <c r="K27">
        <f t="shared" si="4"/>
        <v>17</v>
      </c>
      <c r="L27" t="str">
        <f t="shared" si="5"/>
        <v>'Large Rectangle'</v>
      </c>
      <c r="M27" t="str">
        <f t="shared" si="6"/>
        <v>'Mobile'</v>
      </c>
      <c r="N27" t="str">
        <f t="shared" si="7"/>
        <v>'160x816'</v>
      </c>
      <c r="O27" t="str">
        <f t="shared" si="8"/>
        <v>'No'</v>
      </c>
      <c r="P27" t="str">
        <f t="shared" si="9"/>
        <v>'0.339583333333333'</v>
      </c>
      <c r="Q27" t="str">
        <f t="shared" si="10"/>
        <v>'JPG, PNG, GIF, HTML21'</v>
      </c>
      <c r="R27" t="str">
        <f t="shared" si="11"/>
        <v>'166 KB'</v>
      </c>
      <c r="S27" t="str">
        <f t="shared" si="12"/>
        <v>'30s or less, 3 loops max'</v>
      </c>
      <c r="T27" t="str">
        <f t="shared" si="13"/>
        <v>17,'Large Rectangle','Mobile','160x816','No','0.339583333333333','JPG, PNG, GIF, HTML21','166 KB','30s or less, 3 loops max'</v>
      </c>
      <c r="U27" t="str">
        <f t="shared" si="3"/>
        <v>INSERT INTO Ads(Id,Name,Device,Dimensions,CopyRequest,AspectRatio,FileTypes,FileSize,VideoDuration) VALUES (17,'Large Rectangle','Mobile','160x816','No','0.339583333333333','JPG, PNG, GIF, HTML21','166 KB','30s or less, 3 loops max');</v>
      </c>
    </row>
    <row r="28" spans="2:21">
      <c r="B28">
        <v>18</v>
      </c>
      <c r="C28" t="s">
        <v>111</v>
      </c>
      <c r="D28" t="s">
        <v>47</v>
      </c>
      <c r="E28" t="s">
        <v>112</v>
      </c>
      <c r="F28" t="s">
        <v>42</v>
      </c>
      <c r="G28" s="4">
        <v>0.38125000000000003</v>
      </c>
      <c r="H28" t="s">
        <v>113</v>
      </c>
      <c r="I28" t="s">
        <v>114</v>
      </c>
      <c r="J28" t="s">
        <v>45</v>
      </c>
      <c r="K28">
        <f t="shared" si="4"/>
        <v>18</v>
      </c>
      <c r="L28" t="str">
        <f t="shared" si="5"/>
        <v>'Skyscraper'</v>
      </c>
      <c r="M28" t="str">
        <f t="shared" si="6"/>
        <v>'Desktop'</v>
      </c>
      <c r="N28" t="str">
        <f t="shared" si="7"/>
        <v>'160x817'</v>
      </c>
      <c r="O28" t="str">
        <f t="shared" si="8"/>
        <v>'No'</v>
      </c>
      <c r="P28" t="str">
        <f t="shared" si="9"/>
        <v>'0.38125'</v>
      </c>
      <c r="Q28" t="str">
        <f t="shared" si="10"/>
        <v>'JPG, PNG, GIF, HTML22'</v>
      </c>
      <c r="R28" t="str">
        <f t="shared" si="11"/>
        <v>'167 KB'</v>
      </c>
      <c r="S28" t="str">
        <f t="shared" si="12"/>
        <v>'30s or less, 3 loops max'</v>
      </c>
      <c r="T28" t="str">
        <f t="shared" si="13"/>
        <v>18,'Skyscraper','Desktop','160x817','No','0.38125','JPG, PNG, GIF, HTML22','167 KB','30s or less, 3 loops max'</v>
      </c>
      <c r="U28" t="str">
        <f t="shared" si="3"/>
        <v>INSERT INTO Ads(Id,Name,Device,Dimensions,CopyRequest,AspectRatio,FileTypes,FileSize,VideoDuration) VALUES (18,'Skyscraper','Desktop','160x817','No','0.38125','JPG, PNG, GIF, HTML22','167 KB','30s or less, 3 loops max');</v>
      </c>
    </row>
    <row r="29" spans="2:21">
      <c r="B29">
        <v>19</v>
      </c>
      <c r="C29" t="s">
        <v>115</v>
      </c>
      <c r="D29" t="s">
        <v>40</v>
      </c>
      <c r="E29" t="s">
        <v>116</v>
      </c>
      <c r="F29" t="s">
        <v>42</v>
      </c>
      <c r="G29" s="4">
        <v>0.42291666666666666</v>
      </c>
      <c r="H29" t="s">
        <v>117</v>
      </c>
      <c r="I29" t="s">
        <v>118</v>
      </c>
      <c r="J29" t="s">
        <v>45</v>
      </c>
      <c r="K29">
        <f t="shared" si="4"/>
        <v>19</v>
      </c>
      <c r="L29" t="str">
        <f t="shared" si="5"/>
        <v>'Half-Page Ad'</v>
      </c>
      <c r="M29" t="str">
        <f t="shared" si="6"/>
        <v>'Mobile'</v>
      </c>
      <c r="N29" t="str">
        <f t="shared" si="7"/>
        <v>'160x818'</v>
      </c>
      <c r="O29" t="str">
        <f t="shared" si="8"/>
        <v>'No'</v>
      </c>
      <c r="P29" t="str">
        <f t="shared" si="9"/>
        <v>'0.422916666666667'</v>
      </c>
      <c r="Q29" t="str">
        <f t="shared" si="10"/>
        <v>'JPG, PNG, GIF, HTML23'</v>
      </c>
      <c r="R29" t="str">
        <f t="shared" si="11"/>
        <v>'168 KB'</v>
      </c>
      <c r="S29" t="str">
        <f t="shared" si="12"/>
        <v>'30s or less, 3 loops max'</v>
      </c>
      <c r="T29" t="str">
        <f t="shared" si="13"/>
        <v>19,'Half-Page Ad','Mobile','160x818','No','0.422916666666667','JPG, PNG, GIF, HTML23','168 KB','30s or less, 3 loops max'</v>
      </c>
      <c r="U29" t="str">
        <f t="shared" si="3"/>
        <v>INSERT INTO Ads(Id,Name,Device,Dimensions,CopyRequest,AspectRatio,FileTypes,FileSize,VideoDuration) VALUES (19,'Half-Page Ad','Mobile','160x818','No','0.422916666666667','JPG, PNG, GIF, HTML23','168 KB','30s or less, 3 loops max');</v>
      </c>
    </row>
    <row r="30" spans="2:21">
      <c r="B30">
        <v>20</v>
      </c>
      <c r="C30" t="s">
        <v>119</v>
      </c>
      <c r="D30" t="s">
        <v>40</v>
      </c>
      <c r="E30" t="s">
        <v>120</v>
      </c>
      <c r="F30" t="s">
        <v>42</v>
      </c>
      <c r="G30" s="4">
        <v>0.46458333333333335</v>
      </c>
      <c r="H30" t="s">
        <v>121</v>
      </c>
      <c r="I30" t="s">
        <v>122</v>
      </c>
      <c r="J30" t="s">
        <v>45</v>
      </c>
      <c r="K30">
        <f t="shared" si="4"/>
        <v>20</v>
      </c>
      <c r="L30" t="str">
        <f t="shared" si="5"/>
        <v>'Vertical Rectangle (RU only)'</v>
      </c>
      <c r="M30" t="str">
        <f t="shared" si="6"/>
        <v>'Mobile'</v>
      </c>
      <c r="N30" t="str">
        <f t="shared" si="7"/>
        <v>'160x819'</v>
      </c>
      <c r="O30" t="str">
        <f t="shared" si="8"/>
        <v>'No'</v>
      </c>
      <c r="P30" t="str">
        <f t="shared" si="9"/>
        <v>'0.464583333333333'</v>
      </c>
      <c r="Q30" t="str">
        <f t="shared" si="10"/>
        <v>'JPG, PNG, GIF, HTML24'</v>
      </c>
      <c r="R30" t="str">
        <f t="shared" si="11"/>
        <v>'169 KB'</v>
      </c>
      <c r="S30" t="str">
        <f t="shared" si="12"/>
        <v>'30s or less, 3 loops max'</v>
      </c>
      <c r="T30" t="str">
        <f t="shared" si="13"/>
        <v>20,'Vertical Rectangle (RU only)','Mobile','160x819','No','0.464583333333333','JPG, PNG, GIF, HTML24','169 KB','30s or less, 3 loops max'</v>
      </c>
      <c r="U30" t="str">
        <f t="shared" si="3"/>
        <v>INSERT INTO Ads(Id,Name,Device,Dimensions,CopyRequest,AspectRatio,FileTypes,FileSize,VideoDuration) VALUES (20,'Vertical Rectangle (RU only)','Mobile','160x819','No','0.464583333333333','JPG, PNG, GIF, HTML24','169 KB','30s or less, 3 loops max');</v>
      </c>
    </row>
    <row r="31" spans="2:21">
      <c r="B31">
        <v>21</v>
      </c>
      <c r="C31" t="s">
        <v>123</v>
      </c>
      <c r="D31" t="s">
        <v>47</v>
      </c>
      <c r="E31" t="s">
        <v>124</v>
      </c>
      <c r="F31" t="s">
        <v>42</v>
      </c>
      <c r="G31" s="4">
        <v>0.50624999999999998</v>
      </c>
      <c r="H31" t="s">
        <v>125</v>
      </c>
      <c r="I31" t="s">
        <v>126</v>
      </c>
      <c r="J31" t="s">
        <v>45</v>
      </c>
      <c r="K31">
        <f t="shared" si="4"/>
        <v>21</v>
      </c>
      <c r="L31" t="str">
        <f t="shared" si="5"/>
        <v>'Billboard (PL only)'</v>
      </c>
      <c r="M31" t="str">
        <f t="shared" si="6"/>
        <v>'Desktop'</v>
      </c>
      <c r="N31" t="str">
        <f t="shared" si="7"/>
        <v>'160x820'</v>
      </c>
      <c r="O31" t="str">
        <f t="shared" si="8"/>
        <v>'No'</v>
      </c>
      <c r="P31" t="str">
        <f t="shared" si="9"/>
        <v>'0.50625'</v>
      </c>
      <c r="Q31" t="str">
        <f t="shared" si="10"/>
        <v>'JPG, PNG, GIF, HTML25'</v>
      </c>
      <c r="R31" t="str">
        <f t="shared" si="11"/>
        <v>'170 KB'</v>
      </c>
      <c r="S31" t="str">
        <f t="shared" si="12"/>
        <v>'30s or less, 3 loops max'</v>
      </c>
      <c r="T31" t="str">
        <f t="shared" si="13"/>
        <v>21,'Billboard (PL only)','Desktop','160x820','No','0.50625','JPG, PNG, GIF, HTML25','170 KB','30s or less, 3 loops max'</v>
      </c>
      <c r="U31" t="str">
        <f t="shared" si="3"/>
        <v>INSERT INTO Ads(Id,Name,Device,Dimensions,CopyRequest,AspectRatio,FileTypes,FileSize,VideoDuration) VALUES (21,'Billboard (PL only)','Desktop','160x820','No','0.50625','JPG, PNG, GIF, HTML25','170 KB','30s or less, 3 loops max');</v>
      </c>
    </row>
    <row r="32" spans="2:21">
      <c r="B32">
        <v>22</v>
      </c>
      <c r="C32" t="s">
        <v>127</v>
      </c>
      <c r="D32" t="s">
        <v>47</v>
      </c>
      <c r="E32" t="s">
        <v>128</v>
      </c>
      <c r="F32" t="s">
        <v>42</v>
      </c>
      <c r="G32" s="4">
        <v>0.54791666666666672</v>
      </c>
      <c r="H32" t="s">
        <v>129</v>
      </c>
      <c r="I32" t="s">
        <v>130</v>
      </c>
      <c r="J32" t="s">
        <v>45</v>
      </c>
      <c r="K32">
        <f t="shared" si="4"/>
        <v>22</v>
      </c>
      <c r="L32" t="str">
        <f t="shared" si="5"/>
        <v>'Double Billboard (PL only)'</v>
      </c>
      <c r="M32" t="str">
        <f t="shared" si="6"/>
        <v>'Desktop'</v>
      </c>
      <c r="N32" t="str">
        <f t="shared" si="7"/>
        <v>'160x821'</v>
      </c>
      <c r="O32" t="str">
        <f t="shared" si="8"/>
        <v>'No'</v>
      </c>
      <c r="P32" t="str">
        <f t="shared" si="9"/>
        <v>'0.547916666666667'</v>
      </c>
      <c r="Q32" t="str">
        <f t="shared" si="10"/>
        <v>'JPG, PNG, GIF, HTML26'</v>
      </c>
      <c r="R32" t="str">
        <f t="shared" si="11"/>
        <v>'171 KB'</v>
      </c>
      <c r="S32" t="str">
        <f t="shared" si="12"/>
        <v>'30s or less, 3 loops max'</v>
      </c>
      <c r="T32" t="str">
        <f t="shared" si="13"/>
        <v>22,'Double Billboard (PL only)','Desktop','160x821','No','0.547916666666667','JPG, PNG, GIF, HTML26','171 KB','30s or less, 3 loops max'</v>
      </c>
      <c r="U32" t="str">
        <f t="shared" si="3"/>
        <v>INSERT INTO Ads(Id,Name,Device,Dimensions,CopyRequest,AspectRatio,FileTypes,FileSize,VideoDuration) VALUES (22,'Double Billboard (PL only)','Desktop','160x821','No','0.547916666666667','JPG, PNG, GIF, HTML26','171 KB','30s or less, 3 loops max');</v>
      </c>
    </row>
    <row r="33" spans="2:21">
      <c r="B33">
        <v>23</v>
      </c>
      <c r="C33" t="s">
        <v>131</v>
      </c>
      <c r="D33" t="s">
        <v>40</v>
      </c>
      <c r="E33" t="s">
        <v>132</v>
      </c>
      <c r="F33" t="s">
        <v>42</v>
      </c>
      <c r="G33" s="4">
        <v>0.58958333333333335</v>
      </c>
      <c r="H33" t="s">
        <v>133</v>
      </c>
      <c r="I33" t="s">
        <v>134</v>
      </c>
      <c r="J33" t="s">
        <v>45</v>
      </c>
      <c r="K33">
        <f t="shared" si="4"/>
        <v>23</v>
      </c>
      <c r="L33" t="str">
        <f t="shared" si="5"/>
        <v>'Triple Billboard (PL only)'</v>
      </c>
      <c r="M33" t="str">
        <f t="shared" si="6"/>
        <v>'Mobile'</v>
      </c>
      <c r="N33" t="str">
        <f t="shared" si="7"/>
        <v>'160x822'</v>
      </c>
      <c r="O33" t="str">
        <f t="shared" si="8"/>
        <v>'No'</v>
      </c>
      <c r="P33" t="str">
        <f t="shared" si="9"/>
        <v>'0.589583333333333'</v>
      </c>
      <c r="Q33" t="str">
        <f t="shared" si="10"/>
        <v>'JPG, PNG, GIF, HTML27'</v>
      </c>
      <c r="R33" t="str">
        <f t="shared" si="11"/>
        <v>'172 KB'</v>
      </c>
      <c r="S33" t="str">
        <f t="shared" si="12"/>
        <v>'30s or less, 3 loops max'</v>
      </c>
      <c r="T33" t="str">
        <f t="shared" si="13"/>
        <v>23,'Triple Billboard (PL only)','Mobile','160x822','No','0.589583333333333','JPG, PNG, GIF, HTML27','172 KB','30s or less, 3 loops max'</v>
      </c>
      <c r="U33" t="str">
        <f t="shared" si="3"/>
        <v>INSERT INTO Ads(Id,Name,Device,Dimensions,CopyRequest,AspectRatio,FileTypes,FileSize,VideoDuration) VALUES (23,'Triple Billboard (PL only)','Mobile','160x822','No','0.589583333333333','JPG, PNG, GIF, HTML27','172 KB','30s or less, 3 loops max');</v>
      </c>
    </row>
    <row r="34" spans="2:21">
      <c r="B34">
        <v>24</v>
      </c>
      <c r="C34" t="s">
        <v>135</v>
      </c>
      <c r="D34" t="s">
        <v>47</v>
      </c>
      <c r="E34" t="s">
        <v>136</v>
      </c>
      <c r="F34" t="s">
        <v>42</v>
      </c>
      <c r="G34" s="4">
        <v>0.63124999999999998</v>
      </c>
      <c r="H34" t="s">
        <v>137</v>
      </c>
      <c r="I34" t="s">
        <v>138</v>
      </c>
      <c r="J34" t="s">
        <v>45</v>
      </c>
      <c r="K34">
        <f t="shared" si="4"/>
        <v>24</v>
      </c>
      <c r="L34" t="str">
        <f t="shared" si="5"/>
        <v>'Responsive Display Ad'</v>
      </c>
      <c r="M34" t="str">
        <f t="shared" si="6"/>
        <v>'Desktop'</v>
      </c>
      <c r="N34" t="str">
        <f t="shared" si="7"/>
        <v>'160x823'</v>
      </c>
      <c r="O34" t="str">
        <f t="shared" si="8"/>
        <v>'No'</v>
      </c>
      <c r="P34" t="str">
        <f t="shared" si="9"/>
        <v>'0.63125'</v>
      </c>
      <c r="Q34" t="str">
        <f t="shared" si="10"/>
        <v>'JPG, PNG, GIF, HTML28'</v>
      </c>
      <c r="R34" t="str">
        <f t="shared" si="11"/>
        <v>'173 KB'</v>
      </c>
      <c r="S34" t="str">
        <f t="shared" si="12"/>
        <v>'30s or less, 3 loops max'</v>
      </c>
      <c r="T34" t="str">
        <f t="shared" si="13"/>
        <v>24,'Responsive Display Ad','Desktop','160x823','No','0.63125','JPG, PNG, GIF, HTML28','173 KB','30s or less, 3 loops max'</v>
      </c>
      <c r="U34" t="str">
        <f t="shared" si="3"/>
        <v>INSERT INTO Ads(Id,Name,Device,Dimensions,CopyRequest,AspectRatio,FileTypes,FileSize,VideoDuration) VALUES (24,'Responsive Display Ad','Desktop','160x823','No','0.63125','JPG, PNG, GIF, HTML28','173 KB','30s or less, 3 loops max');</v>
      </c>
    </row>
    <row r="35" spans="2:21">
      <c r="U35" s="6" t="str">
        <f>"ALTER TABLE " &amp; $B$1 &amp; " WITH CHECK CHECK CONSTRAINT ALL"</f>
        <v>ALTER TABLE Ads WITH CHECK CHECK CONSTRAINT ALL</v>
      </c>
    </row>
    <row r="36" spans="2:21">
      <c r="U36" t="str">
        <f>"SET IDENTITY_INSERT " &amp; $B$1 &amp; " OFF;"</f>
        <v>SET IDENTITY_INSERT Ads OFF;</v>
      </c>
    </row>
  </sheetData>
  <mergeCells count="1">
    <mergeCell ref="B9:C9"/>
  </mergeCells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D4D1E-44A3-4EC7-B496-5D74512CAB78}">
  <dimension ref="A1:I16"/>
  <sheetViews>
    <sheetView workbookViewId="0">
      <selection activeCell="B6" sqref="B6"/>
    </sheetView>
  </sheetViews>
  <sheetFormatPr defaultRowHeight="15"/>
  <cols>
    <col min="1" max="1" width="11.5703125" bestFit="1" customWidth="1"/>
    <col min="2" max="2" width="54.85546875" bestFit="1" customWidth="1"/>
    <col min="3" max="3" width="18.28515625" bestFit="1" customWidth="1"/>
    <col min="4" max="6" width="18.28515625" customWidth="1"/>
    <col min="9" max="9" width="95" bestFit="1" customWidth="1"/>
    <col min="10" max="10" width="64.5703125" bestFit="1" customWidth="1"/>
  </cols>
  <sheetData>
    <row r="1" spans="1:9">
      <c r="A1" s="1" t="s">
        <v>33</v>
      </c>
      <c r="B1" s="3" t="s">
        <v>173</v>
      </c>
    </row>
    <row r="2" spans="1:9">
      <c r="A2" s="1" t="s">
        <v>32</v>
      </c>
      <c r="B2" t="str">
        <f>"INSERT INTO " &amp; B1 &amp; "("</f>
        <v>INSERT INTO PSChannelCountryAds(</v>
      </c>
    </row>
    <row r="3" spans="1:9">
      <c r="A3" s="1" t="s">
        <v>35</v>
      </c>
      <c r="B3" t="str">
        <f>") VALUES ("</f>
        <v>) VALUES (</v>
      </c>
    </row>
    <row r="4" spans="1:9">
      <c r="A4" s="1" t="s">
        <v>31</v>
      </c>
      <c r="B4" t="str">
        <f>");"</f>
        <v>);</v>
      </c>
    </row>
    <row r="5" spans="1:9">
      <c r="A5" s="1" t="s">
        <v>30</v>
      </c>
      <c r="B5" s="1" t="str">
        <f t="shared" ref="B5:D5" si="0">B10</f>
        <v>Id</v>
      </c>
      <c r="C5" s="1" t="str">
        <f t="shared" si="0"/>
        <v>PSChannelCountryId</v>
      </c>
      <c r="D5" s="1" t="str">
        <f t="shared" si="0"/>
        <v>AdId</v>
      </c>
    </row>
    <row r="6" spans="1:9">
      <c r="A6" s="1" t="s">
        <v>34</v>
      </c>
      <c r="B6" t="str">
        <f>B5</f>
        <v>Id</v>
      </c>
      <c r="C6" t="str">
        <f>B6 &amp; ", " &amp; C5</f>
        <v>Id, PSChannelCountryId</v>
      </c>
      <c r="D6" t="str">
        <f>C6 &amp; ", " &amp; D5</f>
        <v>Id, PSChannelCountryId, AdId</v>
      </c>
    </row>
    <row r="7" spans="1:9">
      <c r="A7" s="1" t="s">
        <v>38</v>
      </c>
      <c r="B7" t="str">
        <f>B2 &amp; D6 &amp; B3</f>
        <v>INSERT INTO PSChannelCountryAds(Id, PSChannelCountryId, AdId) VALUES (</v>
      </c>
    </row>
    <row r="8" spans="1:9">
      <c r="I8" s="6" t="str">
        <f>"ALTER TABLE " &amp; $B$1 &amp; " NOCHECK CONSTRAINT ALL"</f>
        <v>ALTER TABLE PSChannelCountryAds NOCHECK CONSTRAINT ALL</v>
      </c>
    </row>
    <row r="9" spans="1:9">
      <c r="B9" s="10" t="s">
        <v>37</v>
      </c>
      <c r="C9" s="10"/>
      <c r="D9" s="9"/>
      <c r="E9" s="9"/>
      <c r="F9" s="9"/>
      <c r="I9" t="str">
        <f>"DELETE FROM " &amp; $B$1 &amp; ";"</f>
        <v>DELETE FROM PSChannelCountryAds;</v>
      </c>
    </row>
    <row r="10" spans="1:9">
      <c r="B10" s="1" t="s">
        <v>192</v>
      </c>
      <c r="C10" s="1" t="s">
        <v>171</v>
      </c>
      <c r="D10" s="1" t="s">
        <v>148</v>
      </c>
      <c r="E10" s="1"/>
      <c r="F10" s="1"/>
      <c r="I10" t="str">
        <f>"SET IDENTITY_INSERT " &amp; $B$1 &amp; " ON;"</f>
        <v>SET IDENTITY_INSERT PSChannelCountryAds ON;</v>
      </c>
    </row>
    <row r="11" spans="1:9">
      <c r="B11">
        <v>1</v>
      </c>
      <c r="C11" s="3">
        <v>1</v>
      </c>
      <c r="D11" s="3">
        <v>1</v>
      </c>
      <c r="E11">
        <f t="shared" ref="E11:G14" si="1">B11</f>
        <v>1</v>
      </c>
      <c r="F11">
        <f t="shared" si="1"/>
        <v>1</v>
      </c>
      <c r="G11">
        <f t="shared" si="1"/>
        <v>1</v>
      </c>
      <c r="H11" t="str">
        <f>_xlfn.CONCAT(E11,",",F11,",",G11)</f>
        <v>1,1,1</v>
      </c>
      <c r="I11" t="str">
        <f>$B$7 &amp; H11 &amp; $B$4</f>
        <v>INSERT INTO PSChannelCountryAds(Id, PSChannelCountryId, AdId) VALUES (1,1,1);</v>
      </c>
    </row>
    <row r="12" spans="1:9">
      <c r="B12">
        <v>2</v>
      </c>
      <c r="C12" s="3">
        <v>2</v>
      </c>
      <c r="D12" s="3">
        <v>2</v>
      </c>
      <c r="E12">
        <f t="shared" si="1"/>
        <v>2</v>
      </c>
      <c r="F12">
        <f t="shared" si="1"/>
        <v>2</v>
      </c>
      <c r="G12">
        <f t="shared" si="1"/>
        <v>2</v>
      </c>
      <c r="H12" t="str">
        <f t="shared" ref="H12:H14" si="2">_xlfn.CONCAT(E12,",",F12,",",G12)</f>
        <v>2,2,2</v>
      </c>
      <c r="I12" t="str">
        <f>$B$7 &amp; H12 &amp; $B$4</f>
        <v>INSERT INTO PSChannelCountryAds(Id, PSChannelCountryId, AdId) VALUES (2,2,2);</v>
      </c>
    </row>
    <row r="13" spans="1:9">
      <c r="B13">
        <v>3</v>
      </c>
      <c r="C13" s="3">
        <v>3</v>
      </c>
      <c r="D13" s="3">
        <v>3</v>
      </c>
      <c r="E13">
        <f t="shared" si="1"/>
        <v>3</v>
      </c>
      <c r="F13">
        <f t="shared" si="1"/>
        <v>3</v>
      </c>
      <c r="G13">
        <f t="shared" si="1"/>
        <v>3</v>
      </c>
      <c r="H13" t="str">
        <f t="shared" si="2"/>
        <v>3,3,3</v>
      </c>
      <c r="I13" t="str">
        <f>$B$7 &amp; H13 &amp; $B$4</f>
        <v>INSERT INTO PSChannelCountryAds(Id, PSChannelCountryId, AdId) VALUES (3,3,3);</v>
      </c>
    </row>
    <row r="14" spans="1:9">
      <c r="B14">
        <v>4</v>
      </c>
      <c r="C14" s="3">
        <v>4</v>
      </c>
      <c r="D14" s="3">
        <v>4</v>
      </c>
      <c r="E14">
        <f t="shared" si="1"/>
        <v>4</v>
      </c>
      <c r="F14">
        <f t="shared" si="1"/>
        <v>4</v>
      </c>
      <c r="G14">
        <f t="shared" si="1"/>
        <v>4</v>
      </c>
      <c r="H14" t="str">
        <f t="shared" si="2"/>
        <v>4,4,4</v>
      </c>
      <c r="I14" t="str">
        <f>$B$7 &amp; H14 &amp; $B$4</f>
        <v>INSERT INTO PSChannelCountryAds(Id, PSChannelCountryId, AdId) VALUES (4,4,4);</v>
      </c>
    </row>
    <row r="15" spans="1:9">
      <c r="I15" s="6" t="str">
        <f>"ALTER TABLE " &amp; $B$1 &amp; " WITH CHECK CHECK CONSTRAINT ALL"</f>
        <v>ALTER TABLE PSChannelCountryAds WITH CHECK CHECK CONSTRAINT ALL</v>
      </c>
    </row>
    <row r="16" spans="1:9">
      <c r="I16" t="str">
        <f>"SET IDENTITY_INSERT " &amp; $B$1 &amp; " OFF;"</f>
        <v>SET IDENTITY_INSERT PSChannelCountryAds OFF;</v>
      </c>
    </row>
  </sheetData>
  <mergeCells count="1"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Delete All</vt:lpstr>
      <vt:lpstr>All Inserts</vt:lpstr>
      <vt:lpstr>Phases</vt:lpstr>
      <vt:lpstr>Strategies</vt:lpstr>
      <vt:lpstr>PhaseStrategies</vt:lpstr>
      <vt:lpstr>Channel</vt:lpstr>
      <vt:lpstr>PSChannels</vt:lpstr>
      <vt:lpstr>Country</vt:lpstr>
      <vt:lpstr>PSChannelCountries</vt:lpstr>
      <vt:lpstr>Ad</vt:lpstr>
      <vt:lpstr>PSChannelCountriesAds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Cropper</cp:lastModifiedBy>
  <dcterms:created xsi:type="dcterms:W3CDTF">2020-08-11T10:25:27Z</dcterms:created>
  <dcterms:modified xsi:type="dcterms:W3CDTF">2020-08-25T15:34:06Z</dcterms:modified>
</cp:coreProperties>
</file>